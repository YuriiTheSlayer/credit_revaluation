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bookViews>
    <workbookView xWindow="0" yWindow="0" windowWidth="28800" windowHeight="11910"/>
  </bookViews>
  <sheets>
    <sheet name="Ср. срок на продажи" sheetId="1" r:id="rId1"/>
    <sheet name="Средний срок на стоимость" sheetId="2" r:id="rId2"/>
  </sheets>
  <definedNames>
    <definedName name="_xlnm._FilterDatabase" localSheetId="0" hidden="1">'Ср. срок на продажи'!$A$1:$Y$1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8" i="2" l="1"/>
  <c r="M9" i="2"/>
  <c r="M10" i="2"/>
  <c r="M11" i="2"/>
  <c r="M12" i="2"/>
  <c r="M13" i="2"/>
  <c r="M14" i="2"/>
  <c r="M15" i="2"/>
  <c r="M16" i="2"/>
  <c r="M17" i="2"/>
  <c r="M24" i="2"/>
  <c r="M25" i="2"/>
  <c r="M26" i="2"/>
  <c r="M27" i="2"/>
  <c r="M28" i="2"/>
  <c r="M29" i="2"/>
  <c r="M30" i="2"/>
  <c r="M31" i="2"/>
  <c r="M32" i="2"/>
  <c r="M33" i="2"/>
  <c r="L38" i="2"/>
  <c r="M2" i="2" s="1"/>
  <c r="L38" i="1"/>
  <c r="M8" i="1" s="1"/>
  <c r="M37" i="1" l="1"/>
  <c r="M5" i="1"/>
  <c r="M36" i="1"/>
  <c r="M4" i="1"/>
  <c r="M35" i="1"/>
  <c r="M3" i="1"/>
  <c r="M34" i="1"/>
  <c r="M31" i="1"/>
  <c r="M15" i="1"/>
  <c r="M27" i="1"/>
  <c r="M11" i="1"/>
  <c r="M21" i="2"/>
  <c r="M26" i="1"/>
  <c r="M10" i="1"/>
  <c r="M36" i="2"/>
  <c r="M20" i="2"/>
  <c r="M4" i="2"/>
  <c r="M23" i="1"/>
  <c r="M7" i="1"/>
  <c r="M22" i="1"/>
  <c r="M6" i="1"/>
  <c r="M21" i="1"/>
  <c r="M20" i="1"/>
  <c r="M19" i="1"/>
  <c r="M18" i="1"/>
  <c r="M2" i="1"/>
  <c r="M33" i="1"/>
  <c r="M17" i="1"/>
  <c r="M30" i="1"/>
  <c r="M14" i="1"/>
  <c r="M29" i="1"/>
  <c r="M23" i="2"/>
  <c r="M7" i="2"/>
  <c r="M28" i="1"/>
  <c r="M12" i="1"/>
  <c r="M25" i="1"/>
  <c r="M9" i="1"/>
  <c r="M35" i="2"/>
  <c r="M19" i="2"/>
  <c r="M3" i="2"/>
  <c r="O38" i="2" s="1"/>
  <c r="M32" i="1"/>
  <c r="M16" i="1"/>
  <c r="M13" i="1"/>
  <c r="M22" i="2"/>
  <c r="M6" i="2"/>
  <c r="M37" i="2"/>
  <c r="M5" i="2"/>
  <c r="M24" i="1"/>
  <c r="M34" i="2"/>
  <c r="M18" i="2"/>
  <c r="P38" i="1" l="1"/>
  <c r="M38" i="1"/>
  <c r="V38" i="1"/>
  <c r="X38" i="1"/>
  <c r="Y38" i="1"/>
  <c r="U38" i="2"/>
  <c r="X38" i="2"/>
  <c r="W38" i="2"/>
  <c r="M38" i="2"/>
</calcChain>
</file>

<file path=xl/sharedStrings.xml><?xml version="1.0" encoding="utf-8"?>
<sst xmlns="http://schemas.openxmlformats.org/spreadsheetml/2006/main" count="1173" uniqueCount="130">
  <si>
    <t xml:space="preserve"> Epicentr</t>
  </si>
  <si>
    <t>Rozetka</t>
  </si>
  <si>
    <t>Foxtrot</t>
  </si>
  <si>
    <t>Comfy</t>
  </si>
  <si>
    <t>Spush</t>
  </si>
  <si>
    <t>15</t>
  </si>
  <si>
    <t>Матрица</t>
  </si>
  <si>
    <t>14,1%</t>
  </si>
  <si>
    <t>0</t>
  </si>
  <si>
    <t>17 099</t>
  </si>
  <si>
    <t>10</t>
  </si>
  <si>
    <t>Нет</t>
  </si>
  <si>
    <t>Есть</t>
  </si>
  <si>
    <t>Push</t>
  </si>
  <si>
    <t>Інновації та Телеком</t>
  </si>
  <si>
    <t>Смартфон</t>
  </si>
  <si>
    <t>Samsung</t>
  </si>
  <si>
    <t>Galaxy A37 6/128Gb Awesome Lavender (SM-A376BLVBEUC);3849177</t>
  </si>
  <si>
    <t>15,3%</t>
  </si>
  <si>
    <t>Galaxy A37 6/128Gb Awesome Charcoal (SM-A376BZABEUC);3849176</t>
  </si>
  <si>
    <t>15,7%</t>
  </si>
  <si>
    <t>Normal</t>
  </si>
  <si>
    <t>Galaxy A37 6/128Gb Awesome White (SM-A376BZWBEUC);3849175</t>
  </si>
  <si>
    <t>16,5%</t>
  </si>
  <si>
    <t>Galaxy A37 6/128Gb Awesome Graygreen (SM-A376BDGBEUC);3849174</t>
  </si>
  <si>
    <t>15,4%</t>
  </si>
  <si>
    <t>20 699</t>
  </si>
  <si>
    <t>Galaxy A37 8/256Gb Awesome White (SM-A376BZWGEUC);3849173</t>
  </si>
  <si>
    <t>Galaxy A37 8/256Gb Awesome Lavender (SM-A376BLVGEUC);3849172</t>
  </si>
  <si>
    <t>15,0%</t>
  </si>
  <si>
    <t>Galaxy A37 8/256Gb Awesome Charcoal (SM-A376BZAGEUC);3849171</t>
  </si>
  <si>
    <t>20</t>
  </si>
  <si>
    <t>14,5%</t>
  </si>
  <si>
    <t>25 599</t>
  </si>
  <si>
    <t>5,19</t>
  </si>
  <si>
    <t>Galaxy A57 8/256Gb Awesome Icyblue (SM-A576BLBDEUC);3849169</t>
  </si>
  <si>
    <t>15,2%</t>
  </si>
  <si>
    <t>Galaxy A57 8/256Gb Awesome Gray (SM-A576BZADEUC);3849168</t>
  </si>
  <si>
    <t>Galaxy A37 8/256Gb Awesome Graygreen (SM-A376BDGGEUC);3849167</t>
  </si>
  <si>
    <t>13,9%</t>
  </si>
  <si>
    <t>Galaxy A57 8/256Gb Awesome Lilac (SM-A576BZVDEUC);3849163</t>
  </si>
  <si>
    <t>12,4%</t>
  </si>
  <si>
    <t>Galaxy A57 8/256Gb Awesome Navy (SM-A576BDBDEUC);3849162</t>
  </si>
  <si>
    <t>18</t>
  </si>
  <si>
    <t>10,7%</t>
  </si>
  <si>
    <t>18 499</t>
  </si>
  <si>
    <t>5,13</t>
  </si>
  <si>
    <t>Xiaomi</t>
  </si>
  <si>
    <t>Redmi Note 15 Pro+ 5G 8/256Gb Mocha Brown;3754200</t>
  </si>
  <si>
    <t>Redmi Note 15 Pro+ 5G 8/256Gb Glacier Blue;3754196</t>
  </si>
  <si>
    <t>10,6%</t>
  </si>
  <si>
    <t>Redmi Note 15 Pro+ 5G 8/256Gb Black;3754195</t>
  </si>
  <si>
    <t>-</t>
  </si>
  <si>
    <t>13 999</t>
  </si>
  <si>
    <t>6,67</t>
  </si>
  <si>
    <t>Redmi Note 15 Pro 8/256Gb Glacier Blue;3754188</t>
  </si>
  <si>
    <t>12,6%</t>
  </si>
  <si>
    <t>Redmi Note 15 Pro 8/256Gb Black;3754187</t>
  </si>
  <si>
    <t>1,8%</t>
  </si>
  <si>
    <t>9 499</t>
  </si>
  <si>
    <t>13,64</t>
  </si>
  <si>
    <t>Redmi Note 15 8/256Gb Glacier Blue;3754183</t>
  </si>
  <si>
    <t>Redmi Note 15 8/256Gb Black;3754182</t>
  </si>
  <si>
    <t>-2,9%</t>
  </si>
  <si>
    <t>7 999</t>
  </si>
  <si>
    <t>17,53</t>
  </si>
  <si>
    <t>Redmi Note 15 6/128Gb Purple;3754181</t>
  </si>
  <si>
    <t>Redmi Note 15 6/128Gb Black;3754179</t>
  </si>
  <si>
    <t>35,4%</t>
  </si>
  <si>
    <t>14 444</t>
  </si>
  <si>
    <t>OPPO</t>
  </si>
  <si>
    <t>A6 Pro 8/256Gb Stellar Blue;3643327</t>
  </si>
  <si>
    <t>36,4%</t>
  </si>
  <si>
    <t>A6 Pro 8/256Gb Lunar Titanium;3643326</t>
  </si>
  <si>
    <t>24,2%</t>
  </si>
  <si>
    <t>14 999</t>
  </si>
  <si>
    <t>6.25</t>
  </si>
  <si>
    <t>Reno 14 F 5G 8/256Gb Luminous Green;3581942</t>
  </si>
  <si>
    <t>14,8%</t>
  </si>
  <si>
    <t>6 199</t>
  </si>
  <si>
    <t>11,43</t>
  </si>
  <si>
    <t>Redmi 15C 4/128Gb Green;3559717</t>
  </si>
  <si>
    <t>Redmi 15C 4/128Gb Midnight Black;3559716</t>
  </si>
  <si>
    <t>14,6%</t>
  </si>
  <si>
    <t>Redmi 15C 4/128Gb Blue;3559715</t>
  </si>
  <si>
    <t>20,5%</t>
  </si>
  <si>
    <t>4 899</t>
  </si>
  <si>
    <t>10,91</t>
  </si>
  <si>
    <t>Galaxy A07 4/128Gb Green (SM-A075FZGGSEK);3540063</t>
  </si>
  <si>
    <t>20,4%</t>
  </si>
  <si>
    <t>Galaxy A07 4/128Gb Light Violet (SM-A075FLVGSEK);3540061</t>
  </si>
  <si>
    <t>Galaxy A07 4/128Gb Black (SM-A075FZKGSEK);3540058</t>
  </si>
  <si>
    <t>19,1%</t>
  </si>
  <si>
    <t>11 699</t>
  </si>
  <si>
    <t>Galaxy A26 5G 8/256Gb Mint (SM-A266BLGCEUC);3368840</t>
  </si>
  <si>
    <t>Galaxy A26 5G 8/256Gb White (SM-A266BZWCEUC);3368839</t>
  </si>
  <si>
    <t>18,1%</t>
  </si>
  <si>
    <t>9 899</t>
  </si>
  <si>
    <t>Galaxy A26 5G 6/128Gb Black (SM-A266BZKBEUC);3368838</t>
  </si>
  <si>
    <t>19,0%</t>
  </si>
  <si>
    <t>Galaxy A26 5G 8/256Gb Black (SM-A266BZKCEUC);3368837</t>
  </si>
  <si>
    <t>16,7%</t>
  </si>
  <si>
    <t>Galaxy A26 5G 6/128Gb Mint (SM-A266BLGBEUC);3368835</t>
  </si>
  <si>
    <t>15,5%</t>
  </si>
  <si>
    <t>Galaxy A26 5G 6/128Gb White (SM-A266BZWBEUC);3368834</t>
  </si>
  <si>
    <t>Кол-во Платежей Epicentr</t>
  </si>
  <si>
    <t>Кол-во Платежей Rozetka</t>
  </si>
  <si>
    <t>ТипАссортиментаОбщий</t>
  </si>
  <si>
    <t>Кол-во Платежей Foxtrot</t>
  </si>
  <si>
    <t>Кол-во Платежей Comfy</t>
  </si>
  <si>
    <t>Тип ассортимента</t>
  </si>
  <si>
    <t>Маржа кредитная</t>
  </si>
  <si>
    <t>Шаг</t>
  </si>
  <si>
    <t>Откл. MAX платежей</t>
  </si>
  <si>
    <t>Comfy. MAX платежей</t>
  </si>
  <si>
    <t>Конкуренты. MAX платежей</t>
  </si>
  <si>
    <t>Цена Comfy *</t>
  </si>
  <si>
    <t>Структура</t>
  </si>
  <si>
    <t>Продажи</t>
  </si>
  <si>
    <t>Скидка</t>
  </si>
  <si>
    <t>Остаток_SP</t>
  </si>
  <si>
    <t>Остаток_Comfy</t>
  </si>
  <si>
    <t>Товар поставщика</t>
  </si>
  <si>
    <t>Атрибут_RMA</t>
  </si>
  <si>
    <t>Бизнес</t>
  </si>
  <si>
    <t>Категория</t>
  </si>
  <si>
    <t>Подкатегория</t>
  </si>
  <si>
    <t>Бренд</t>
  </si>
  <si>
    <t>Товар</t>
  </si>
  <si>
    <t>КодТовара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</si>
</sst>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-* #,##0.00\ _₴_-;\-* #,##0.00\ _₴_-;_-* &quot;-&quot;??\ _₴_-;_-@_-"/>
    <numFmt numFmtId="164" formatCode="_-* #,##0.0\ _₴_-;\-* #,##0.0\ _₴_-;_-* &quot;-&quot;??\ _₴_-;_-@_-"/>
    <numFmt numFmtId="165" formatCode="_-* #,##0\ _₴_-;\-* #,##0\ _₴_-;_-* &quot;-&quot;??\ _₴_-;_-@_-"/>
    <numFmt numFmtId="166" formatCode="0.0%"/>
  </numFmts>
  <fonts count="4" x14ac:knownFonts="1">
    <font>
      <sz val="10"/>
      <name val="Arial"/>
    </font>
    <font>
      <sz val="10"/>
      <name val="Arial"/>
    </font>
    <font>
      <b/>
      <sz val="8"/>
      <color indexed="63"/>
      <name val="Tahoma"/>
    </font>
    <font>
      <sz val="8"/>
      <color indexed="63"/>
      <name val="Tahoma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42"/>
      </left>
      <right style="thin">
        <color indexed="42"/>
      </right>
      <top style="thin">
        <color indexed="42"/>
      </top>
      <bottom style="thin">
        <color indexed="42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7">
    <xf numFmtId="0" fontId="0" fillId="0" borderId="0" xfId="0"/>
    <xf numFmtId="2" fontId="0" fillId="0" borderId="0" xfId="0" applyNumberFormat="1"/>
    <xf numFmtId="49" fontId="2" fillId="2" borderId="1" xfId="0" applyNumberFormat="1" applyFont="1" applyFill="1" applyBorder="1"/>
    <xf numFmtId="164" fontId="0" fillId="0" borderId="0" xfId="1" applyNumberFormat="1" applyFont="1"/>
    <xf numFmtId="9" fontId="0" fillId="0" borderId="0" xfId="2" applyNumberFormat="1" applyFont="1"/>
    <xf numFmtId="0" fontId="3" fillId="3" borderId="1" xfId="0" applyFont="1" applyFill="1" applyBorder="1"/>
    <xf numFmtId="49" fontId="3" fillId="4" borderId="1" xfId="0" applyNumberFormat="1" applyFont="1" applyFill="1" applyBorder="1"/>
    <xf numFmtId="49" fontId="3" fillId="3" borderId="1" xfId="0" applyNumberFormat="1" applyFont="1" applyFill="1" applyBorder="1"/>
    <xf numFmtId="0" fontId="3" fillId="4" borderId="1" xfId="0" applyFont="1" applyFill="1" applyBorder="1"/>
    <xf numFmtId="10" fontId="0" fillId="0" borderId="0" xfId="2" applyNumberFormat="1" applyFont="1"/>
    <xf numFmtId="165" fontId="0" fillId="0" borderId="0" xfId="1" applyNumberFormat="1" applyFont="1"/>
    <xf numFmtId="0" fontId="3" fillId="5" borderId="1" xfId="0" applyFont="1" applyFill="1" applyBorder="1"/>
    <xf numFmtId="49" fontId="3" fillId="5" borderId="1" xfId="0" applyNumberFormat="1" applyFont="1" applyFill="1" applyBorder="1"/>
    <xf numFmtId="2" fontId="0" fillId="6" borderId="0" xfId="0" applyNumberFormat="1" applyFill="1"/>
    <xf numFmtId="166" fontId="0" fillId="0" borderId="0" xfId="2" applyNumberFormat="1" applyFont="1"/>
    <xf numFmtId="49" fontId="0" fillId="0" borderId="0" xfId="0" applyNumberFormat="1"/>
    <xf numFmtId="10" fontId="3" fillId="4" borderId="1" xfId="2" applyNumberFormat="1" applyFont="1" applyFill="1" applyBorder="1"/>
  </cellXfs>
  <cellStyles count="3">
    <cellStyle name="Відсотковий" xfId="2" builtinId="5"/>
    <cellStyle name="Звичайний" xfId="0" builtinId="0"/>
    <cellStyle name="Фінансови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9"/>
  <sheetViews>
    <sheetView tabSelected="1" workbookViewId="0">
      <selection activeCell="K40" sqref="K40"/>
    </sheetView>
  </sheetViews>
  <sheetFormatPr defaultRowHeight="12.75" x14ac:dyDescent="0.2"/>
  <cols>
    <col min="12" max="12" width="14.7109375" style="1" bestFit="1" customWidth="1"/>
    <col min="13" max="13" width="14.7109375" style="1" customWidth="1"/>
    <col min="15" max="15" width="11.5703125" customWidth="1"/>
  </cols>
  <sheetData>
    <row r="1" spans="1:25" x14ac:dyDescent="0.2">
      <c r="A1" s="2" t="s">
        <v>129</v>
      </c>
      <c r="B1" s="2" t="s">
        <v>128</v>
      </c>
      <c r="C1" s="2" t="s">
        <v>127</v>
      </c>
      <c r="D1" s="2" t="s">
        <v>126</v>
      </c>
      <c r="E1" s="2" t="s">
        <v>125</v>
      </c>
      <c r="F1" s="2" t="s">
        <v>124</v>
      </c>
      <c r="G1" s="2" t="s">
        <v>123</v>
      </c>
      <c r="H1" s="2" t="s">
        <v>122</v>
      </c>
      <c r="I1" s="2" t="s">
        <v>121</v>
      </c>
      <c r="J1" s="2" t="s">
        <v>120</v>
      </c>
      <c r="K1" s="2" t="s">
        <v>119</v>
      </c>
      <c r="L1" s="13" t="s">
        <v>118</v>
      </c>
      <c r="M1" s="13" t="s">
        <v>117</v>
      </c>
      <c r="N1" s="2" t="s">
        <v>116</v>
      </c>
      <c r="O1" s="2" t="s">
        <v>115</v>
      </c>
      <c r="P1" s="2" t="s">
        <v>114</v>
      </c>
      <c r="Q1" s="2" t="s">
        <v>113</v>
      </c>
      <c r="R1" s="2" t="s">
        <v>112</v>
      </c>
      <c r="S1" s="2" t="s">
        <v>111</v>
      </c>
      <c r="T1" s="2" t="s">
        <v>110</v>
      </c>
      <c r="U1" s="2" t="s">
        <v>109</v>
      </c>
      <c r="V1" s="2" t="s">
        <v>108</v>
      </c>
      <c r="W1" s="2" t="s">
        <v>107</v>
      </c>
      <c r="X1" s="2" t="s">
        <v>106</v>
      </c>
      <c r="Y1" s="2" t="s">
        <v>105</v>
      </c>
    </row>
    <row r="2" spans="1:25" x14ac:dyDescent="0.2">
      <c r="A2" s="8">
        <v>3368834</v>
      </c>
      <c r="B2" s="6" t="s">
        <v>104</v>
      </c>
      <c r="C2" s="6" t="s">
        <v>16</v>
      </c>
      <c r="D2" s="6" t="s">
        <v>15</v>
      </c>
      <c r="E2" s="6" t="s">
        <v>15</v>
      </c>
      <c r="F2" s="6" t="s">
        <v>14</v>
      </c>
      <c r="G2" s="6" t="s">
        <v>13</v>
      </c>
      <c r="H2" s="6" t="s">
        <v>11</v>
      </c>
      <c r="I2" s="6" t="s">
        <v>12</v>
      </c>
      <c r="J2" s="6" t="s">
        <v>11</v>
      </c>
      <c r="K2" s="6" t="s">
        <v>10</v>
      </c>
      <c r="L2" s="10">
        <v>472600</v>
      </c>
      <c r="M2" s="9">
        <f>L2/$L$38</f>
        <v>6.5522065775696896E-3</v>
      </c>
      <c r="N2" s="6" t="s">
        <v>97</v>
      </c>
      <c r="O2" s="5">
        <v>10</v>
      </c>
      <c r="P2" s="8">
        <v>10</v>
      </c>
      <c r="Q2" s="8">
        <v>0</v>
      </c>
      <c r="R2" s="6" t="s">
        <v>8</v>
      </c>
      <c r="S2" s="6" t="s">
        <v>103</v>
      </c>
      <c r="T2" s="6" t="s">
        <v>6</v>
      </c>
      <c r="U2" s="7" t="s">
        <v>10</v>
      </c>
      <c r="V2" s="5">
        <v>10</v>
      </c>
      <c r="W2" s="6" t="s">
        <v>4</v>
      </c>
      <c r="X2" s="5">
        <v>10</v>
      </c>
      <c r="Y2" s="5">
        <v>10</v>
      </c>
    </row>
    <row r="3" spans="1:25" x14ac:dyDescent="0.2">
      <c r="A3" s="8">
        <v>3368835</v>
      </c>
      <c r="B3" s="6" t="s">
        <v>102</v>
      </c>
      <c r="C3" s="6" t="s">
        <v>16</v>
      </c>
      <c r="D3" s="6" t="s">
        <v>15</v>
      </c>
      <c r="E3" s="6" t="s">
        <v>15</v>
      </c>
      <c r="F3" s="6" t="s">
        <v>14</v>
      </c>
      <c r="G3" s="6" t="s">
        <v>21</v>
      </c>
      <c r="H3" s="6" t="s">
        <v>11</v>
      </c>
      <c r="I3" s="6" t="s">
        <v>12</v>
      </c>
      <c r="J3" s="6" t="s">
        <v>12</v>
      </c>
      <c r="K3" s="6" t="s">
        <v>10</v>
      </c>
      <c r="L3" s="10">
        <v>882260</v>
      </c>
      <c r="M3" s="9">
        <f>L3/$L$38</f>
        <v>1.2231802317237906E-2</v>
      </c>
      <c r="N3" s="6" t="s">
        <v>97</v>
      </c>
      <c r="O3" s="5">
        <v>10</v>
      </c>
      <c r="P3" s="8">
        <v>10</v>
      </c>
      <c r="Q3" s="8">
        <v>0</v>
      </c>
      <c r="R3" s="6" t="s">
        <v>8</v>
      </c>
      <c r="S3" s="6" t="s">
        <v>101</v>
      </c>
      <c r="T3" s="6" t="s">
        <v>6</v>
      </c>
      <c r="U3" s="7" t="s">
        <v>10</v>
      </c>
      <c r="V3" s="5">
        <v>10</v>
      </c>
      <c r="W3" s="6" t="s">
        <v>4</v>
      </c>
      <c r="X3" s="5">
        <v>10</v>
      </c>
      <c r="Y3" s="5">
        <v>10</v>
      </c>
    </row>
    <row r="4" spans="1:25" x14ac:dyDescent="0.2">
      <c r="A4" s="8">
        <v>3368837</v>
      </c>
      <c r="B4" s="6" t="s">
        <v>100</v>
      </c>
      <c r="C4" s="6" t="s">
        <v>16</v>
      </c>
      <c r="D4" s="6" t="s">
        <v>15</v>
      </c>
      <c r="E4" s="6" t="s">
        <v>15</v>
      </c>
      <c r="F4" s="6" t="s">
        <v>14</v>
      </c>
      <c r="G4" s="6" t="s">
        <v>21</v>
      </c>
      <c r="H4" s="6" t="s">
        <v>11</v>
      </c>
      <c r="I4" s="6" t="s">
        <v>12</v>
      </c>
      <c r="J4" s="6" t="s">
        <v>11</v>
      </c>
      <c r="K4" s="6" t="s">
        <v>10</v>
      </c>
      <c r="L4" s="10">
        <v>6072354</v>
      </c>
      <c r="M4" s="9">
        <f>L4/$L$38</f>
        <v>8.4188146043443962E-2</v>
      </c>
      <c r="N4" s="6" t="s">
        <v>93</v>
      </c>
      <c r="O4" s="5">
        <v>10</v>
      </c>
      <c r="P4" s="8">
        <v>10</v>
      </c>
      <c r="Q4" s="8">
        <v>0</v>
      </c>
      <c r="R4" s="6" t="s">
        <v>8</v>
      </c>
      <c r="S4" s="6" t="s">
        <v>99</v>
      </c>
      <c r="T4" s="6" t="s">
        <v>6</v>
      </c>
      <c r="U4" s="7" t="s">
        <v>10</v>
      </c>
      <c r="V4" s="5">
        <v>10</v>
      </c>
      <c r="W4" s="6" t="s">
        <v>4</v>
      </c>
      <c r="X4" s="5">
        <v>10</v>
      </c>
      <c r="Y4" s="5">
        <v>10</v>
      </c>
    </row>
    <row r="5" spans="1:25" x14ac:dyDescent="0.2">
      <c r="A5" s="8">
        <v>3368838</v>
      </c>
      <c r="B5" s="6" t="s">
        <v>98</v>
      </c>
      <c r="C5" s="6" t="s">
        <v>16</v>
      </c>
      <c r="D5" s="6" t="s">
        <v>15</v>
      </c>
      <c r="E5" s="6" t="s">
        <v>15</v>
      </c>
      <c r="F5" s="6" t="s">
        <v>14</v>
      </c>
      <c r="G5" s="6" t="s">
        <v>21</v>
      </c>
      <c r="H5" s="6" t="s">
        <v>11</v>
      </c>
      <c r="I5" s="6" t="s">
        <v>12</v>
      </c>
      <c r="J5" s="6" t="s">
        <v>12</v>
      </c>
      <c r="K5" s="6" t="s">
        <v>10</v>
      </c>
      <c r="L5" s="10">
        <v>1871260</v>
      </c>
      <c r="M5" s="9">
        <f>L5/$L$38</f>
        <v>2.594346610313808E-2</v>
      </c>
      <c r="N5" s="6" t="s">
        <v>97</v>
      </c>
      <c r="O5" s="5">
        <v>10</v>
      </c>
      <c r="P5" s="8">
        <v>10</v>
      </c>
      <c r="Q5" s="8">
        <v>0</v>
      </c>
      <c r="R5" s="6" t="s">
        <v>8</v>
      </c>
      <c r="S5" s="6" t="s">
        <v>96</v>
      </c>
      <c r="T5" s="6" t="s">
        <v>6</v>
      </c>
      <c r="U5" s="7" t="s">
        <v>10</v>
      </c>
      <c r="V5" s="5">
        <v>10</v>
      </c>
      <c r="W5" s="6" t="s">
        <v>4</v>
      </c>
      <c r="X5" s="5">
        <v>10</v>
      </c>
      <c r="Y5" s="5">
        <v>10</v>
      </c>
    </row>
    <row r="6" spans="1:25" x14ac:dyDescent="0.2">
      <c r="A6" s="8">
        <v>3368839</v>
      </c>
      <c r="B6" s="6" t="s">
        <v>95</v>
      </c>
      <c r="C6" s="6" t="s">
        <v>16</v>
      </c>
      <c r="D6" s="6" t="s">
        <v>15</v>
      </c>
      <c r="E6" s="6" t="s">
        <v>15</v>
      </c>
      <c r="F6" s="6" t="s">
        <v>14</v>
      </c>
      <c r="G6" s="6" t="s">
        <v>21</v>
      </c>
      <c r="H6" s="6" t="s">
        <v>11</v>
      </c>
      <c r="I6" s="6" t="s">
        <v>12</v>
      </c>
      <c r="J6" s="6" t="s">
        <v>11</v>
      </c>
      <c r="K6" s="6" t="s">
        <v>10</v>
      </c>
      <c r="L6" s="10">
        <v>1749044</v>
      </c>
      <c r="M6" s="9">
        <f>L6/$L$38</f>
        <v>2.424904274494033E-2</v>
      </c>
      <c r="N6" s="6" t="s">
        <v>93</v>
      </c>
      <c r="O6" s="5">
        <v>10</v>
      </c>
      <c r="P6" s="8">
        <v>10</v>
      </c>
      <c r="Q6" s="8">
        <v>0</v>
      </c>
      <c r="R6" s="6" t="s">
        <v>8</v>
      </c>
      <c r="S6" s="6" t="s">
        <v>92</v>
      </c>
      <c r="T6" s="6" t="s">
        <v>6</v>
      </c>
      <c r="U6" s="7" t="s">
        <v>10</v>
      </c>
      <c r="V6" s="5">
        <v>10</v>
      </c>
      <c r="W6" s="6" t="s">
        <v>4</v>
      </c>
      <c r="X6" s="5">
        <v>10</v>
      </c>
      <c r="Y6" s="5">
        <v>10</v>
      </c>
    </row>
    <row r="7" spans="1:25" x14ac:dyDescent="0.2">
      <c r="A7" s="8">
        <v>3368840</v>
      </c>
      <c r="B7" s="6" t="s">
        <v>94</v>
      </c>
      <c r="C7" s="6" t="s">
        <v>16</v>
      </c>
      <c r="D7" s="6" t="s">
        <v>15</v>
      </c>
      <c r="E7" s="6" t="s">
        <v>15</v>
      </c>
      <c r="F7" s="6" t="s">
        <v>14</v>
      </c>
      <c r="G7" s="6" t="s">
        <v>21</v>
      </c>
      <c r="H7" s="6" t="s">
        <v>11</v>
      </c>
      <c r="I7" s="6" t="s">
        <v>12</v>
      </c>
      <c r="J7" s="6" t="s">
        <v>11</v>
      </c>
      <c r="K7" s="6" t="s">
        <v>10</v>
      </c>
      <c r="L7" s="10">
        <v>2574308</v>
      </c>
      <c r="M7" s="9">
        <f>L7/$L$38</f>
        <v>3.5690642848688683E-2</v>
      </c>
      <c r="N7" s="6" t="s">
        <v>93</v>
      </c>
      <c r="O7" s="5">
        <v>10</v>
      </c>
      <c r="P7" s="8">
        <v>10</v>
      </c>
      <c r="Q7" s="8">
        <v>0</v>
      </c>
      <c r="R7" s="6" t="s">
        <v>8</v>
      </c>
      <c r="S7" s="6" t="s">
        <v>92</v>
      </c>
      <c r="T7" s="6" t="s">
        <v>6</v>
      </c>
      <c r="U7" s="7" t="s">
        <v>10</v>
      </c>
      <c r="V7" s="5">
        <v>10</v>
      </c>
      <c r="W7" s="6" t="s">
        <v>4</v>
      </c>
      <c r="X7" s="5">
        <v>10</v>
      </c>
      <c r="Y7" s="5">
        <v>10</v>
      </c>
    </row>
    <row r="8" spans="1:25" x14ac:dyDescent="0.2">
      <c r="A8" s="8">
        <v>3540058</v>
      </c>
      <c r="B8" s="6" t="s">
        <v>91</v>
      </c>
      <c r="C8" s="6" t="s">
        <v>16</v>
      </c>
      <c r="D8" s="6" t="s">
        <v>15</v>
      </c>
      <c r="E8" s="6" t="s">
        <v>15</v>
      </c>
      <c r="F8" s="6" t="s">
        <v>14</v>
      </c>
      <c r="G8" s="6" t="s">
        <v>21</v>
      </c>
      <c r="H8" s="6" t="s">
        <v>11</v>
      </c>
      <c r="I8" s="6" t="s">
        <v>12</v>
      </c>
      <c r="J8" s="6" t="s">
        <v>11</v>
      </c>
      <c r="K8" s="6" t="s">
        <v>87</v>
      </c>
      <c r="L8" s="10">
        <v>1225932</v>
      </c>
      <c r="M8" s="9">
        <f>L8/$L$38</f>
        <v>1.6996529229905129E-2</v>
      </c>
      <c r="N8" s="6" t="s">
        <v>86</v>
      </c>
      <c r="O8" s="5">
        <v>10</v>
      </c>
      <c r="P8" s="8">
        <v>10</v>
      </c>
      <c r="Q8" s="8">
        <v>0</v>
      </c>
      <c r="R8" s="6" t="s">
        <v>8</v>
      </c>
      <c r="S8" s="6" t="s">
        <v>89</v>
      </c>
      <c r="T8" s="6" t="s">
        <v>6</v>
      </c>
      <c r="U8" s="7" t="s">
        <v>10</v>
      </c>
      <c r="V8" s="5">
        <v>10</v>
      </c>
      <c r="W8" s="6" t="s">
        <v>4</v>
      </c>
      <c r="X8" s="5">
        <v>10</v>
      </c>
      <c r="Y8" s="5">
        <v>10</v>
      </c>
    </row>
    <row r="9" spans="1:25" x14ac:dyDescent="0.2">
      <c r="A9" s="8">
        <v>3540061</v>
      </c>
      <c r="B9" s="6" t="s">
        <v>90</v>
      </c>
      <c r="C9" s="6" t="s">
        <v>16</v>
      </c>
      <c r="D9" s="6" t="s">
        <v>15</v>
      </c>
      <c r="E9" s="6" t="s">
        <v>15</v>
      </c>
      <c r="F9" s="6" t="s">
        <v>14</v>
      </c>
      <c r="G9" s="6" t="s">
        <v>21</v>
      </c>
      <c r="H9" s="6" t="s">
        <v>11</v>
      </c>
      <c r="I9" s="6" t="s">
        <v>12</v>
      </c>
      <c r="J9" s="6" t="s">
        <v>11</v>
      </c>
      <c r="K9" s="6" t="s">
        <v>87</v>
      </c>
      <c r="L9" s="10">
        <v>610261</v>
      </c>
      <c r="M9" s="9">
        <f>L9/$L$38</f>
        <v>8.4607620360437081E-3</v>
      </c>
      <c r="N9" s="6" t="s">
        <v>86</v>
      </c>
      <c r="O9" s="5">
        <v>10</v>
      </c>
      <c r="P9" s="8">
        <v>10</v>
      </c>
      <c r="Q9" s="8">
        <v>0</v>
      </c>
      <c r="R9" s="6" t="s">
        <v>8</v>
      </c>
      <c r="S9" s="6" t="s">
        <v>89</v>
      </c>
      <c r="T9" s="6" t="s">
        <v>6</v>
      </c>
      <c r="U9" s="7" t="s">
        <v>10</v>
      </c>
      <c r="V9" s="5">
        <v>10</v>
      </c>
      <c r="W9" s="6" t="s">
        <v>4</v>
      </c>
      <c r="X9" s="5">
        <v>10</v>
      </c>
      <c r="Y9" s="5">
        <v>10</v>
      </c>
    </row>
    <row r="10" spans="1:25" x14ac:dyDescent="0.2">
      <c r="A10" s="8">
        <v>3540063</v>
      </c>
      <c r="B10" s="6" t="s">
        <v>88</v>
      </c>
      <c r="C10" s="6" t="s">
        <v>16</v>
      </c>
      <c r="D10" s="6" t="s">
        <v>15</v>
      </c>
      <c r="E10" s="6" t="s">
        <v>15</v>
      </c>
      <c r="F10" s="6" t="s">
        <v>14</v>
      </c>
      <c r="G10" s="6" t="s">
        <v>21</v>
      </c>
      <c r="H10" s="6" t="s">
        <v>11</v>
      </c>
      <c r="I10" s="6" t="s">
        <v>12</v>
      </c>
      <c r="J10" s="6" t="s">
        <v>11</v>
      </c>
      <c r="K10" s="6" t="s">
        <v>87</v>
      </c>
      <c r="L10" s="10">
        <v>439797</v>
      </c>
      <c r="M10" s="9">
        <f>L10/$L$38</f>
        <v>6.09742022047274E-3</v>
      </c>
      <c r="N10" s="6" t="s">
        <v>86</v>
      </c>
      <c r="O10" s="5">
        <v>10</v>
      </c>
      <c r="P10" s="8">
        <v>10</v>
      </c>
      <c r="Q10" s="8">
        <v>0</v>
      </c>
      <c r="R10" s="6" t="s">
        <v>8</v>
      </c>
      <c r="S10" s="6" t="s">
        <v>85</v>
      </c>
      <c r="T10" s="6" t="s">
        <v>6</v>
      </c>
      <c r="U10" s="7" t="s">
        <v>10</v>
      </c>
      <c r="V10" s="5">
        <v>10</v>
      </c>
      <c r="W10" s="6" t="s">
        <v>4</v>
      </c>
      <c r="X10" s="5">
        <v>10</v>
      </c>
      <c r="Y10" s="5">
        <v>10</v>
      </c>
    </row>
    <row r="11" spans="1:25" x14ac:dyDescent="0.2">
      <c r="A11" s="8">
        <v>3559715</v>
      </c>
      <c r="B11" s="6" t="s">
        <v>84</v>
      </c>
      <c r="C11" s="6" t="s">
        <v>47</v>
      </c>
      <c r="D11" s="6" t="s">
        <v>15</v>
      </c>
      <c r="E11" s="6" t="s">
        <v>15</v>
      </c>
      <c r="F11" s="6" t="s">
        <v>14</v>
      </c>
      <c r="G11" s="6" t="s">
        <v>21</v>
      </c>
      <c r="H11" s="6" t="s">
        <v>11</v>
      </c>
      <c r="I11" s="6" t="s">
        <v>12</v>
      </c>
      <c r="J11" s="6" t="s">
        <v>12</v>
      </c>
      <c r="K11" s="6" t="s">
        <v>80</v>
      </c>
      <c r="L11" s="10">
        <v>131126</v>
      </c>
      <c r="M11" s="9">
        <f>L11/$L$38</f>
        <v>1.8179531097977215E-3</v>
      </c>
      <c r="N11" s="6" t="s">
        <v>79</v>
      </c>
      <c r="O11" s="11">
        <v>15</v>
      </c>
      <c r="P11" s="8">
        <v>18</v>
      </c>
      <c r="Q11" s="8">
        <v>3</v>
      </c>
      <c r="R11" s="6" t="s">
        <v>52</v>
      </c>
      <c r="S11" s="6" t="s">
        <v>83</v>
      </c>
      <c r="T11" s="6" t="s">
        <v>6</v>
      </c>
      <c r="U11" s="12" t="s">
        <v>43</v>
      </c>
      <c r="V11" s="11">
        <v>10</v>
      </c>
      <c r="W11" s="6" t="s">
        <v>4</v>
      </c>
      <c r="X11" s="11">
        <v>15</v>
      </c>
      <c r="Y11" s="11">
        <v>10</v>
      </c>
    </row>
    <row r="12" spans="1:25" x14ac:dyDescent="0.2">
      <c r="A12" s="8">
        <v>3559716</v>
      </c>
      <c r="B12" s="6" t="s">
        <v>82</v>
      </c>
      <c r="C12" s="6" t="s">
        <v>47</v>
      </c>
      <c r="D12" s="6" t="s">
        <v>15</v>
      </c>
      <c r="E12" s="6" t="s">
        <v>15</v>
      </c>
      <c r="F12" s="6" t="s">
        <v>14</v>
      </c>
      <c r="G12" s="6" t="s">
        <v>21</v>
      </c>
      <c r="H12" s="6" t="s">
        <v>11</v>
      </c>
      <c r="I12" s="6" t="s">
        <v>12</v>
      </c>
      <c r="J12" s="6" t="s">
        <v>12</v>
      </c>
      <c r="K12" s="6" t="s">
        <v>80</v>
      </c>
      <c r="L12" s="10">
        <v>561888</v>
      </c>
      <c r="M12" s="9">
        <f>L12/$L$38</f>
        <v>7.7901105574639815E-3</v>
      </c>
      <c r="N12" s="6" t="s">
        <v>79</v>
      </c>
      <c r="O12" s="11">
        <v>15</v>
      </c>
      <c r="P12" s="8">
        <v>18</v>
      </c>
      <c r="Q12" s="8">
        <v>3</v>
      </c>
      <c r="R12" s="6" t="s">
        <v>52</v>
      </c>
      <c r="S12" s="6" t="s">
        <v>32</v>
      </c>
      <c r="T12" s="6" t="s">
        <v>6</v>
      </c>
      <c r="U12" s="12" t="s">
        <v>43</v>
      </c>
      <c r="V12" s="11">
        <v>10</v>
      </c>
      <c r="W12" s="6" t="s">
        <v>4</v>
      </c>
      <c r="X12" s="11">
        <v>15</v>
      </c>
      <c r="Y12" s="11">
        <v>10</v>
      </c>
    </row>
    <row r="13" spans="1:25" x14ac:dyDescent="0.2">
      <c r="A13" s="8">
        <v>3559717</v>
      </c>
      <c r="B13" s="6" t="s">
        <v>81</v>
      </c>
      <c r="C13" s="6" t="s">
        <v>47</v>
      </c>
      <c r="D13" s="6" t="s">
        <v>15</v>
      </c>
      <c r="E13" s="6" t="s">
        <v>15</v>
      </c>
      <c r="F13" s="6" t="s">
        <v>14</v>
      </c>
      <c r="G13" s="6" t="s">
        <v>21</v>
      </c>
      <c r="H13" s="6" t="s">
        <v>11</v>
      </c>
      <c r="I13" s="6" t="s">
        <v>12</v>
      </c>
      <c r="J13" s="6" t="s">
        <v>12</v>
      </c>
      <c r="K13" s="6" t="s">
        <v>80</v>
      </c>
      <c r="L13" s="10">
        <v>208119</v>
      </c>
      <c r="M13" s="9">
        <f>L13/$L$38</f>
        <v>2.8853971238197761E-3</v>
      </c>
      <c r="N13" s="6" t="s">
        <v>79</v>
      </c>
      <c r="O13" s="11">
        <v>15</v>
      </c>
      <c r="P13" s="8">
        <v>18</v>
      </c>
      <c r="Q13" s="8">
        <v>3</v>
      </c>
      <c r="R13" s="6" t="s">
        <v>52</v>
      </c>
      <c r="S13" s="6" t="s">
        <v>78</v>
      </c>
      <c r="T13" s="6" t="s">
        <v>6</v>
      </c>
      <c r="U13" s="12" t="s">
        <v>43</v>
      </c>
      <c r="V13" s="11">
        <v>10</v>
      </c>
      <c r="W13" s="6" t="s">
        <v>4</v>
      </c>
      <c r="X13" s="11">
        <v>15</v>
      </c>
      <c r="Y13" s="11">
        <v>10</v>
      </c>
    </row>
    <row r="14" spans="1:25" x14ac:dyDescent="0.2">
      <c r="A14" s="8">
        <v>3581942</v>
      </c>
      <c r="B14" s="6" t="s">
        <v>77</v>
      </c>
      <c r="C14" s="6" t="s">
        <v>70</v>
      </c>
      <c r="D14" s="6" t="s">
        <v>15</v>
      </c>
      <c r="E14" s="6" t="s">
        <v>15</v>
      </c>
      <c r="F14" s="6" t="s">
        <v>14</v>
      </c>
      <c r="G14" s="6" t="s">
        <v>21</v>
      </c>
      <c r="H14" s="6" t="s">
        <v>11</v>
      </c>
      <c r="I14" s="6" t="s">
        <v>12</v>
      </c>
      <c r="J14" s="6" t="s">
        <v>11</v>
      </c>
      <c r="K14" s="6" t="s">
        <v>76</v>
      </c>
      <c r="L14" s="10">
        <v>1249305</v>
      </c>
      <c r="M14" s="9">
        <f>L14/$L$38</f>
        <v>1.7320576467183033E-2</v>
      </c>
      <c r="N14" s="6" t="s">
        <v>75</v>
      </c>
      <c r="O14" s="11">
        <v>10</v>
      </c>
      <c r="P14" s="8">
        <v>18</v>
      </c>
      <c r="Q14" s="8">
        <v>8</v>
      </c>
      <c r="R14" s="6" t="s">
        <v>52</v>
      </c>
      <c r="S14" s="6" t="s">
        <v>74</v>
      </c>
      <c r="T14" s="6" t="s">
        <v>6</v>
      </c>
      <c r="U14" s="12" t="s">
        <v>43</v>
      </c>
      <c r="V14" s="11">
        <v>10</v>
      </c>
      <c r="W14" s="6" t="s">
        <v>4</v>
      </c>
      <c r="X14" s="11">
        <v>10</v>
      </c>
      <c r="Y14" s="11">
        <v>10</v>
      </c>
    </row>
    <row r="15" spans="1:25" x14ac:dyDescent="0.2">
      <c r="A15" s="8">
        <v>3643326</v>
      </c>
      <c r="B15" s="6" t="s">
        <v>73</v>
      </c>
      <c r="C15" s="6" t="s">
        <v>70</v>
      </c>
      <c r="D15" s="6" t="s">
        <v>15</v>
      </c>
      <c r="E15" s="6" t="s">
        <v>15</v>
      </c>
      <c r="F15" s="6" t="s">
        <v>14</v>
      </c>
      <c r="G15" s="6" t="s">
        <v>21</v>
      </c>
      <c r="H15" s="6" t="s">
        <v>11</v>
      </c>
      <c r="I15" s="6" t="s">
        <v>12</v>
      </c>
      <c r="J15" s="6" t="s">
        <v>12</v>
      </c>
      <c r="K15" s="6" t="s">
        <v>8</v>
      </c>
      <c r="L15" s="10">
        <v>734788</v>
      </c>
      <c r="M15" s="9">
        <f>L15/$L$38</f>
        <v>1.01872254903074E-2</v>
      </c>
      <c r="N15" s="6" t="s">
        <v>69</v>
      </c>
      <c r="O15" s="11">
        <v>10</v>
      </c>
      <c r="P15" s="8">
        <v>18</v>
      </c>
      <c r="Q15" s="8">
        <v>8</v>
      </c>
      <c r="R15" s="6" t="s">
        <v>52</v>
      </c>
      <c r="S15" s="6" t="s">
        <v>72</v>
      </c>
      <c r="T15" s="6" t="s">
        <v>6</v>
      </c>
      <c r="U15" s="12" t="s">
        <v>43</v>
      </c>
      <c r="V15" s="11">
        <v>10</v>
      </c>
      <c r="W15" s="6" t="s">
        <v>4</v>
      </c>
      <c r="X15" s="11">
        <v>10</v>
      </c>
      <c r="Y15" s="11">
        <v>10</v>
      </c>
    </row>
    <row r="16" spans="1:25" x14ac:dyDescent="0.2">
      <c r="A16" s="8">
        <v>3643327</v>
      </c>
      <c r="B16" s="6" t="s">
        <v>71</v>
      </c>
      <c r="C16" s="6" t="s">
        <v>70</v>
      </c>
      <c r="D16" s="6" t="s">
        <v>15</v>
      </c>
      <c r="E16" s="6" t="s">
        <v>15</v>
      </c>
      <c r="F16" s="6" t="s">
        <v>14</v>
      </c>
      <c r="G16" s="6" t="s">
        <v>21</v>
      </c>
      <c r="H16" s="6" t="s">
        <v>11</v>
      </c>
      <c r="I16" s="6" t="s">
        <v>12</v>
      </c>
      <c r="J16" s="6" t="s">
        <v>12</v>
      </c>
      <c r="K16" s="6" t="s">
        <v>8</v>
      </c>
      <c r="L16" s="10">
        <v>2266103</v>
      </c>
      <c r="M16" s="9">
        <f>L16/$L$38</f>
        <v>3.1417636441071532E-2</v>
      </c>
      <c r="N16" s="6" t="s">
        <v>69</v>
      </c>
      <c r="O16" s="11">
        <v>10</v>
      </c>
      <c r="P16" s="8">
        <v>18</v>
      </c>
      <c r="Q16" s="8">
        <v>8</v>
      </c>
      <c r="R16" s="6" t="s">
        <v>52</v>
      </c>
      <c r="S16" s="6" t="s">
        <v>68</v>
      </c>
      <c r="T16" s="6" t="s">
        <v>6</v>
      </c>
      <c r="U16" s="12" t="s">
        <v>43</v>
      </c>
      <c r="V16" s="11">
        <v>10</v>
      </c>
      <c r="W16" s="6" t="s">
        <v>4</v>
      </c>
      <c r="X16" s="11">
        <v>10</v>
      </c>
      <c r="Y16" s="11">
        <v>10</v>
      </c>
    </row>
    <row r="17" spans="1:25" x14ac:dyDescent="0.2">
      <c r="A17" s="8">
        <v>3754179</v>
      </c>
      <c r="B17" s="6" t="s">
        <v>67</v>
      </c>
      <c r="C17" s="6" t="s">
        <v>47</v>
      </c>
      <c r="D17" s="6" t="s">
        <v>15</v>
      </c>
      <c r="E17" s="6" t="s">
        <v>15</v>
      </c>
      <c r="F17" s="6" t="s">
        <v>14</v>
      </c>
      <c r="G17" s="6" t="s">
        <v>13</v>
      </c>
      <c r="H17" s="6" t="s">
        <v>11</v>
      </c>
      <c r="I17" s="6" t="s">
        <v>12</v>
      </c>
      <c r="J17" s="6" t="s">
        <v>12</v>
      </c>
      <c r="K17" s="6" t="s">
        <v>65</v>
      </c>
      <c r="L17" s="10">
        <v>934456</v>
      </c>
      <c r="M17" s="9">
        <f>L17/$L$38</f>
        <v>1.2955456516397507E-2</v>
      </c>
      <c r="N17" s="6" t="s">
        <v>64</v>
      </c>
      <c r="O17" s="11">
        <v>15</v>
      </c>
      <c r="P17" s="8">
        <v>18</v>
      </c>
      <c r="Q17" s="8">
        <v>3</v>
      </c>
      <c r="R17" s="6" t="s">
        <v>52</v>
      </c>
      <c r="S17" s="6" t="s">
        <v>63</v>
      </c>
      <c r="T17" s="6" t="s">
        <v>6</v>
      </c>
      <c r="U17" s="12" t="s">
        <v>43</v>
      </c>
      <c r="V17" s="11">
        <v>10</v>
      </c>
      <c r="W17" s="6" t="s">
        <v>4</v>
      </c>
      <c r="X17" s="11">
        <v>15</v>
      </c>
      <c r="Y17" s="11">
        <v>10</v>
      </c>
    </row>
    <row r="18" spans="1:25" x14ac:dyDescent="0.2">
      <c r="A18" s="8">
        <v>3754181</v>
      </c>
      <c r="B18" s="6" t="s">
        <v>66</v>
      </c>
      <c r="C18" s="6" t="s">
        <v>47</v>
      </c>
      <c r="D18" s="6" t="s">
        <v>15</v>
      </c>
      <c r="E18" s="6" t="s">
        <v>15</v>
      </c>
      <c r="F18" s="6" t="s">
        <v>14</v>
      </c>
      <c r="G18" s="6" t="s">
        <v>13</v>
      </c>
      <c r="H18" s="6" t="s">
        <v>11</v>
      </c>
      <c r="I18" s="6" t="s">
        <v>12</v>
      </c>
      <c r="J18" s="6" t="s">
        <v>12</v>
      </c>
      <c r="K18" s="6" t="s">
        <v>65</v>
      </c>
      <c r="L18" s="10">
        <v>349398</v>
      </c>
      <c r="M18" s="9">
        <f>L18/$L$38</f>
        <v>4.8441131480949943E-3</v>
      </c>
      <c r="N18" s="6" t="s">
        <v>64</v>
      </c>
      <c r="O18" s="11">
        <v>15</v>
      </c>
      <c r="P18" s="8">
        <v>18</v>
      </c>
      <c r="Q18" s="8">
        <v>3</v>
      </c>
      <c r="R18" s="6" t="s">
        <v>52</v>
      </c>
      <c r="S18" s="6" t="s">
        <v>63</v>
      </c>
      <c r="T18" s="6" t="s">
        <v>6</v>
      </c>
      <c r="U18" s="12" t="s">
        <v>43</v>
      </c>
      <c r="V18" s="11">
        <v>10</v>
      </c>
      <c r="W18" s="6" t="s">
        <v>4</v>
      </c>
      <c r="X18" s="11">
        <v>15</v>
      </c>
      <c r="Y18" s="11">
        <v>10</v>
      </c>
    </row>
    <row r="19" spans="1:25" x14ac:dyDescent="0.2">
      <c r="A19" s="8">
        <v>3754182</v>
      </c>
      <c r="B19" s="6" t="s">
        <v>62</v>
      </c>
      <c r="C19" s="6" t="s">
        <v>47</v>
      </c>
      <c r="D19" s="6" t="s">
        <v>15</v>
      </c>
      <c r="E19" s="6" t="s">
        <v>15</v>
      </c>
      <c r="F19" s="6" t="s">
        <v>14</v>
      </c>
      <c r="G19" s="6" t="s">
        <v>13</v>
      </c>
      <c r="H19" s="6" t="s">
        <v>11</v>
      </c>
      <c r="I19" s="6" t="s">
        <v>12</v>
      </c>
      <c r="J19" s="6" t="s">
        <v>12</v>
      </c>
      <c r="K19" s="6" t="s">
        <v>60</v>
      </c>
      <c r="L19" s="10">
        <v>2044262</v>
      </c>
      <c r="M19" s="9">
        <f>L19/$L$38</f>
        <v>2.8341995181286012E-2</v>
      </c>
      <c r="N19" s="6" t="s">
        <v>59</v>
      </c>
      <c r="O19" s="11">
        <v>15</v>
      </c>
      <c r="P19" s="8">
        <v>18</v>
      </c>
      <c r="Q19" s="8">
        <v>3</v>
      </c>
      <c r="R19" s="6" t="s">
        <v>52</v>
      </c>
      <c r="S19" s="6" t="s">
        <v>58</v>
      </c>
      <c r="T19" s="6" t="s">
        <v>6</v>
      </c>
      <c r="U19" s="12" t="s">
        <v>43</v>
      </c>
      <c r="V19" s="11">
        <v>10</v>
      </c>
      <c r="W19" s="6" t="s">
        <v>4</v>
      </c>
      <c r="X19" s="11">
        <v>15</v>
      </c>
      <c r="Y19" s="11">
        <v>10</v>
      </c>
    </row>
    <row r="20" spans="1:25" x14ac:dyDescent="0.2">
      <c r="A20" s="8">
        <v>3754183</v>
      </c>
      <c r="B20" s="6" t="s">
        <v>61</v>
      </c>
      <c r="C20" s="6" t="s">
        <v>47</v>
      </c>
      <c r="D20" s="6" t="s">
        <v>15</v>
      </c>
      <c r="E20" s="6" t="s">
        <v>15</v>
      </c>
      <c r="F20" s="6" t="s">
        <v>14</v>
      </c>
      <c r="G20" s="6" t="s">
        <v>13</v>
      </c>
      <c r="H20" s="6" t="s">
        <v>11</v>
      </c>
      <c r="I20" s="6" t="s">
        <v>12</v>
      </c>
      <c r="J20" s="6" t="s">
        <v>12</v>
      </c>
      <c r="K20" s="6" t="s">
        <v>60</v>
      </c>
      <c r="L20" s="10">
        <v>456180</v>
      </c>
      <c r="M20" s="9">
        <f>L20/$L$38</f>
        <v>6.3245569118826513E-3</v>
      </c>
      <c r="N20" s="6" t="s">
        <v>59</v>
      </c>
      <c r="O20" s="11">
        <v>15</v>
      </c>
      <c r="P20" s="8">
        <v>18</v>
      </c>
      <c r="Q20" s="8">
        <v>3</v>
      </c>
      <c r="R20" s="6" t="s">
        <v>52</v>
      </c>
      <c r="S20" s="6" t="s">
        <v>58</v>
      </c>
      <c r="T20" s="6" t="s">
        <v>6</v>
      </c>
      <c r="U20" s="12" t="s">
        <v>43</v>
      </c>
      <c r="V20" s="11">
        <v>10</v>
      </c>
      <c r="W20" s="6" t="s">
        <v>4</v>
      </c>
      <c r="X20" s="11">
        <v>15</v>
      </c>
      <c r="Y20" s="11">
        <v>10</v>
      </c>
    </row>
    <row r="21" spans="1:25" x14ac:dyDescent="0.2">
      <c r="A21" s="8">
        <v>3754187</v>
      </c>
      <c r="B21" s="6" t="s">
        <v>57</v>
      </c>
      <c r="C21" s="6" t="s">
        <v>47</v>
      </c>
      <c r="D21" s="6" t="s">
        <v>15</v>
      </c>
      <c r="E21" s="6" t="s">
        <v>15</v>
      </c>
      <c r="F21" s="6" t="s">
        <v>14</v>
      </c>
      <c r="G21" s="6" t="s">
        <v>13</v>
      </c>
      <c r="H21" s="6" t="s">
        <v>11</v>
      </c>
      <c r="I21" s="6" t="s">
        <v>12</v>
      </c>
      <c r="J21" s="6" t="s">
        <v>12</v>
      </c>
      <c r="K21" s="6" t="s">
        <v>54</v>
      </c>
      <c r="L21" s="10">
        <v>4311586</v>
      </c>
      <c r="M21" s="9">
        <f>L21/$L$38</f>
        <v>5.9776559773502727E-2</v>
      </c>
      <c r="N21" s="6" t="s">
        <v>53</v>
      </c>
      <c r="O21" s="11">
        <v>15</v>
      </c>
      <c r="P21" s="8">
        <v>18</v>
      </c>
      <c r="Q21" s="8">
        <v>3</v>
      </c>
      <c r="R21" s="6" t="s">
        <v>52</v>
      </c>
      <c r="S21" s="6" t="s">
        <v>56</v>
      </c>
      <c r="T21" s="6" t="s">
        <v>6</v>
      </c>
      <c r="U21" s="12" t="s">
        <v>43</v>
      </c>
      <c r="V21" s="11">
        <v>10</v>
      </c>
      <c r="W21" s="6" t="s">
        <v>4</v>
      </c>
      <c r="X21" s="11">
        <v>15</v>
      </c>
      <c r="Y21" s="11">
        <v>10</v>
      </c>
    </row>
    <row r="22" spans="1:25" x14ac:dyDescent="0.2">
      <c r="A22" s="8">
        <v>3754188</v>
      </c>
      <c r="B22" s="6" t="s">
        <v>55</v>
      </c>
      <c r="C22" s="6" t="s">
        <v>47</v>
      </c>
      <c r="D22" s="6" t="s">
        <v>15</v>
      </c>
      <c r="E22" s="6" t="s">
        <v>15</v>
      </c>
      <c r="F22" s="6" t="s">
        <v>14</v>
      </c>
      <c r="G22" s="6" t="s">
        <v>21</v>
      </c>
      <c r="H22" s="6" t="s">
        <v>11</v>
      </c>
      <c r="I22" s="6" t="s">
        <v>12</v>
      </c>
      <c r="J22" s="6" t="s">
        <v>12</v>
      </c>
      <c r="K22" s="6" t="s">
        <v>54</v>
      </c>
      <c r="L22" s="10">
        <v>2455371</v>
      </c>
      <c r="M22" s="9">
        <f>L22/$L$38</f>
        <v>3.4041680102780081E-2</v>
      </c>
      <c r="N22" s="6" t="s">
        <v>53</v>
      </c>
      <c r="O22" s="11">
        <v>15</v>
      </c>
      <c r="P22" s="8">
        <v>18</v>
      </c>
      <c r="Q22" s="8">
        <v>3</v>
      </c>
      <c r="R22" s="6" t="s">
        <v>52</v>
      </c>
      <c r="S22" s="6" t="s">
        <v>20</v>
      </c>
      <c r="T22" s="6" t="s">
        <v>6</v>
      </c>
      <c r="U22" s="12" t="s">
        <v>43</v>
      </c>
      <c r="V22" s="11">
        <v>10</v>
      </c>
      <c r="W22" s="6" t="s">
        <v>4</v>
      </c>
      <c r="X22" s="11">
        <v>15</v>
      </c>
      <c r="Y22" s="11">
        <v>10</v>
      </c>
    </row>
    <row r="23" spans="1:25" x14ac:dyDescent="0.2">
      <c r="A23" s="8">
        <v>3754195</v>
      </c>
      <c r="B23" s="6" t="s">
        <v>51</v>
      </c>
      <c r="C23" s="6" t="s">
        <v>47</v>
      </c>
      <c r="D23" s="6" t="s">
        <v>15</v>
      </c>
      <c r="E23" s="6" t="s">
        <v>15</v>
      </c>
      <c r="F23" s="6" t="s">
        <v>14</v>
      </c>
      <c r="G23" s="6" t="s">
        <v>13</v>
      </c>
      <c r="H23" s="6" t="s">
        <v>11</v>
      </c>
      <c r="I23" s="6" t="s">
        <v>12</v>
      </c>
      <c r="J23" s="6" t="s">
        <v>12</v>
      </c>
      <c r="K23" s="6" t="s">
        <v>46</v>
      </c>
      <c r="L23" s="10">
        <v>1023578</v>
      </c>
      <c r="M23" s="9">
        <f>L23/$L$38</f>
        <v>1.4191059044129555E-2</v>
      </c>
      <c r="N23" s="6" t="s">
        <v>45</v>
      </c>
      <c r="O23" s="5">
        <v>18</v>
      </c>
      <c r="P23" s="8">
        <v>18</v>
      </c>
      <c r="Q23" s="8">
        <v>0</v>
      </c>
      <c r="R23" s="6" t="s">
        <v>8</v>
      </c>
      <c r="S23" s="6" t="s">
        <v>50</v>
      </c>
      <c r="T23" s="6" t="s">
        <v>6</v>
      </c>
      <c r="U23" s="7" t="s">
        <v>43</v>
      </c>
      <c r="V23" s="11">
        <v>10</v>
      </c>
      <c r="W23" s="6" t="s">
        <v>4</v>
      </c>
      <c r="X23" s="5">
        <v>18</v>
      </c>
      <c r="Y23" s="11">
        <v>15</v>
      </c>
    </row>
    <row r="24" spans="1:25" x14ac:dyDescent="0.2">
      <c r="A24" s="8">
        <v>3754196</v>
      </c>
      <c r="B24" s="6" t="s">
        <v>49</v>
      </c>
      <c r="C24" s="6" t="s">
        <v>47</v>
      </c>
      <c r="D24" s="6" t="s">
        <v>15</v>
      </c>
      <c r="E24" s="6" t="s">
        <v>15</v>
      </c>
      <c r="F24" s="6" t="s">
        <v>14</v>
      </c>
      <c r="G24" s="6" t="s">
        <v>21</v>
      </c>
      <c r="H24" s="6" t="s">
        <v>11</v>
      </c>
      <c r="I24" s="6" t="s">
        <v>12</v>
      </c>
      <c r="J24" s="6" t="s">
        <v>12</v>
      </c>
      <c r="K24" s="6" t="s">
        <v>46</v>
      </c>
      <c r="L24" s="10">
        <v>75423</v>
      </c>
      <c r="M24" s="9">
        <f>L24/$L$38</f>
        <v>1.0456772676683001E-3</v>
      </c>
      <c r="N24" s="6" t="s">
        <v>45</v>
      </c>
      <c r="O24" s="5">
        <v>18</v>
      </c>
      <c r="P24" s="8">
        <v>18</v>
      </c>
      <c r="Q24" s="8">
        <v>0</v>
      </c>
      <c r="R24" s="6" t="s">
        <v>8</v>
      </c>
      <c r="S24" s="6" t="s">
        <v>44</v>
      </c>
      <c r="T24" s="6" t="s">
        <v>6</v>
      </c>
      <c r="U24" s="7" t="s">
        <v>43</v>
      </c>
      <c r="V24" s="11">
        <v>10</v>
      </c>
      <c r="W24" s="6" t="s">
        <v>4</v>
      </c>
      <c r="X24" s="5">
        <v>18</v>
      </c>
      <c r="Y24" s="11">
        <v>15</v>
      </c>
    </row>
    <row r="25" spans="1:25" x14ac:dyDescent="0.2">
      <c r="A25" s="8">
        <v>3754200</v>
      </c>
      <c r="B25" s="6" t="s">
        <v>48</v>
      </c>
      <c r="C25" s="6" t="s">
        <v>47</v>
      </c>
      <c r="D25" s="6" t="s">
        <v>15</v>
      </c>
      <c r="E25" s="6" t="s">
        <v>15</v>
      </c>
      <c r="F25" s="6" t="s">
        <v>14</v>
      </c>
      <c r="G25" s="6" t="s">
        <v>21</v>
      </c>
      <c r="H25" s="6" t="s">
        <v>11</v>
      </c>
      <c r="I25" s="6" t="s">
        <v>12</v>
      </c>
      <c r="J25" s="6" t="s">
        <v>11</v>
      </c>
      <c r="K25" s="6" t="s">
        <v>46</v>
      </c>
      <c r="L25" s="10">
        <v>493622</v>
      </c>
      <c r="M25" s="9">
        <f>L25/$L$38</f>
        <v>6.8436591519955674E-3</v>
      </c>
      <c r="N25" s="6" t="s">
        <v>45</v>
      </c>
      <c r="O25" s="5">
        <v>18</v>
      </c>
      <c r="P25" s="8">
        <v>18</v>
      </c>
      <c r="Q25" s="8">
        <v>0</v>
      </c>
      <c r="R25" s="6" t="s">
        <v>8</v>
      </c>
      <c r="S25" s="6" t="s">
        <v>44</v>
      </c>
      <c r="T25" s="6" t="s">
        <v>6</v>
      </c>
      <c r="U25" s="7" t="s">
        <v>43</v>
      </c>
      <c r="V25" s="11">
        <v>10</v>
      </c>
      <c r="W25" s="6" t="s">
        <v>4</v>
      </c>
      <c r="X25" s="5">
        <v>18</v>
      </c>
      <c r="Y25" s="11">
        <v>15</v>
      </c>
    </row>
    <row r="26" spans="1:25" x14ac:dyDescent="0.2">
      <c r="A26" s="8">
        <v>3849162</v>
      </c>
      <c r="B26" s="6" t="s">
        <v>42</v>
      </c>
      <c r="C26" s="6" t="s">
        <v>16</v>
      </c>
      <c r="D26" s="6" t="s">
        <v>15</v>
      </c>
      <c r="E26" s="6" t="s">
        <v>15</v>
      </c>
      <c r="F26" s="6" t="s">
        <v>14</v>
      </c>
      <c r="G26" s="6" t="s">
        <v>13</v>
      </c>
      <c r="H26" s="6" t="s">
        <v>11</v>
      </c>
      <c r="I26" s="6" t="s">
        <v>12</v>
      </c>
      <c r="J26" s="6" t="s">
        <v>12</v>
      </c>
      <c r="K26" s="6" t="s">
        <v>34</v>
      </c>
      <c r="L26" s="10">
        <v>8930769</v>
      </c>
      <c r="M26" s="9">
        <f>L26/$L$38</f>
        <v>0.12381769653947414</v>
      </c>
      <c r="N26" s="6" t="s">
        <v>33</v>
      </c>
      <c r="O26" s="5">
        <v>20</v>
      </c>
      <c r="P26" s="8">
        <v>20</v>
      </c>
      <c r="Q26" s="8">
        <v>0</v>
      </c>
      <c r="R26" s="6" t="s">
        <v>8</v>
      </c>
      <c r="S26" s="6" t="s">
        <v>41</v>
      </c>
      <c r="T26" s="6" t="s">
        <v>6</v>
      </c>
      <c r="U26" s="7" t="s">
        <v>31</v>
      </c>
      <c r="V26" s="5">
        <v>20</v>
      </c>
      <c r="W26" s="6" t="s">
        <v>4</v>
      </c>
      <c r="X26" s="5">
        <v>20</v>
      </c>
      <c r="Y26" s="5">
        <v>20</v>
      </c>
    </row>
    <row r="27" spans="1:25" x14ac:dyDescent="0.2">
      <c r="A27" s="8">
        <v>3849163</v>
      </c>
      <c r="B27" s="6" t="s">
        <v>40</v>
      </c>
      <c r="C27" s="6" t="s">
        <v>16</v>
      </c>
      <c r="D27" s="6" t="s">
        <v>15</v>
      </c>
      <c r="E27" s="6" t="s">
        <v>15</v>
      </c>
      <c r="F27" s="6" t="s">
        <v>14</v>
      </c>
      <c r="G27" s="6" t="s">
        <v>13</v>
      </c>
      <c r="H27" s="6" t="s">
        <v>11</v>
      </c>
      <c r="I27" s="6" t="s">
        <v>12</v>
      </c>
      <c r="J27" s="6" t="s">
        <v>11</v>
      </c>
      <c r="K27" s="6" t="s">
        <v>34</v>
      </c>
      <c r="L27" s="10">
        <v>8326652</v>
      </c>
      <c r="M27" s="9">
        <f>L27/$L$38</f>
        <v>0.11544211596177277</v>
      </c>
      <c r="N27" s="6" t="s">
        <v>33</v>
      </c>
      <c r="O27" s="5">
        <v>20</v>
      </c>
      <c r="P27" s="8">
        <v>20</v>
      </c>
      <c r="Q27" s="8">
        <v>0</v>
      </c>
      <c r="R27" s="6" t="s">
        <v>8</v>
      </c>
      <c r="S27" s="6" t="s">
        <v>39</v>
      </c>
      <c r="T27" s="6" t="s">
        <v>6</v>
      </c>
      <c r="U27" s="7" t="s">
        <v>31</v>
      </c>
      <c r="V27" s="5">
        <v>20</v>
      </c>
      <c r="W27" s="6" t="s">
        <v>4</v>
      </c>
      <c r="X27" s="5">
        <v>20</v>
      </c>
      <c r="Y27" s="5">
        <v>20</v>
      </c>
    </row>
    <row r="28" spans="1:25" x14ac:dyDescent="0.2">
      <c r="A28" s="8">
        <v>3849167</v>
      </c>
      <c r="B28" s="6" t="s">
        <v>38</v>
      </c>
      <c r="C28" s="6" t="s">
        <v>16</v>
      </c>
      <c r="D28" s="6" t="s">
        <v>15</v>
      </c>
      <c r="E28" s="6" t="s">
        <v>15</v>
      </c>
      <c r="F28" s="6" t="s">
        <v>14</v>
      </c>
      <c r="G28" s="6" t="s">
        <v>21</v>
      </c>
      <c r="H28" s="6" t="s">
        <v>11</v>
      </c>
      <c r="I28" s="6" t="s">
        <v>12</v>
      </c>
      <c r="J28" s="6" t="s">
        <v>11</v>
      </c>
      <c r="K28" s="6" t="s">
        <v>10</v>
      </c>
      <c r="L28" s="10">
        <v>409164</v>
      </c>
      <c r="M28" s="9">
        <f>L28/$L$38</f>
        <v>5.6727191115207879E-3</v>
      </c>
      <c r="N28" s="6" t="s">
        <v>26</v>
      </c>
      <c r="O28" s="5">
        <v>15</v>
      </c>
      <c r="P28" s="8">
        <v>15</v>
      </c>
      <c r="Q28" s="8">
        <v>0</v>
      </c>
      <c r="R28" s="6" t="s">
        <v>8</v>
      </c>
      <c r="S28" s="6" t="s">
        <v>18</v>
      </c>
      <c r="T28" s="6" t="s">
        <v>6</v>
      </c>
      <c r="U28" s="7" t="s">
        <v>5</v>
      </c>
      <c r="V28" s="5">
        <v>15</v>
      </c>
      <c r="W28" s="6" t="s">
        <v>4</v>
      </c>
      <c r="X28" s="5">
        <v>15</v>
      </c>
      <c r="Y28" s="5">
        <v>15</v>
      </c>
    </row>
    <row r="29" spans="1:25" x14ac:dyDescent="0.2">
      <c r="A29" s="8">
        <v>3849168</v>
      </c>
      <c r="B29" s="6" t="s">
        <v>37</v>
      </c>
      <c r="C29" s="6" t="s">
        <v>16</v>
      </c>
      <c r="D29" s="6" t="s">
        <v>15</v>
      </c>
      <c r="E29" s="6" t="s">
        <v>15</v>
      </c>
      <c r="F29" s="6" t="s">
        <v>14</v>
      </c>
      <c r="G29" s="6" t="s">
        <v>13</v>
      </c>
      <c r="H29" s="6" t="s">
        <v>11</v>
      </c>
      <c r="I29" s="6" t="s">
        <v>12</v>
      </c>
      <c r="J29" s="6" t="s">
        <v>12</v>
      </c>
      <c r="K29" s="6" t="s">
        <v>34</v>
      </c>
      <c r="L29" s="10">
        <v>5430062</v>
      </c>
      <c r="M29" s="9">
        <f>L29/$L$38</f>
        <v>7.5283300789274699E-2</v>
      </c>
      <c r="N29" s="6" t="s">
        <v>33</v>
      </c>
      <c r="O29" s="5">
        <v>20</v>
      </c>
      <c r="P29" s="8">
        <v>20</v>
      </c>
      <c r="Q29" s="8">
        <v>0</v>
      </c>
      <c r="R29" s="6" t="s">
        <v>8</v>
      </c>
      <c r="S29" s="6" t="s">
        <v>36</v>
      </c>
      <c r="T29" s="6" t="s">
        <v>6</v>
      </c>
      <c r="U29" s="7" t="s">
        <v>31</v>
      </c>
      <c r="V29" s="5">
        <v>20</v>
      </c>
      <c r="W29" s="6" t="s">
        <v>4</v>
      </c>
      <c r="X29" s="5">
        <v>20</v>
      </c>
      <c r="Y29" s="5">
        <v>20</v>
      </c>
    </row>
    <row r="30" spans="1:25" x14ac:dyDescent="0.2">
      <c r="A30" s="8">
        <v>3849169</v>
      </c>
      <c r="B30" s="6" t="s">
        <v>35</v>
      </c>
      <c r="C30" s="6" t="s">
        <v>16</v>
      </c>
      <c r="D30" s="6" t="s">
        <v>15</v>
      </c>
      <c r="E30" s="6" t="s">
        <v>15</v>
      </c>
      <c r="F30" s="6" t="s">
        <v>14</v>
      </c>
      <c r="G30" s="6" t="s">
        <v>13</v>
      </c>
      <c r="H30" s="6" t="s">
        <v>11</v>
      </c>
      <c r="I30" s="6" t="s">
        <v>12</v>
      </c>
      <c r="J30" s="6" t="s">
        <v>11</v>
      </c>
      <c r="K30" s="6" t="s">
        <v>34</v>
      </c>
      <c r="L30" s="10">
        <v>3184038</v>
      </c>
      <c r="M30" s="9">
        <f>L30/$L$38</f>
        <v>4.4144043010647144E-2</v>
      </c>
      <c r="N30" s="6" t="s">
        <v>33</v>
      </c>
      <c r="O30" s="5">
        <v>20</v>
      </c>
      <c r="P30" s="8">
        <v>20</v>
      </c>
      <c r="Q30" s="8">
        <v>0</v>
      </c>
      <c r="R30" s="6" t="s">
        <v>8</v>
      </c>
      <c r="S30" s="6" t="s">
        <v>32</v>
      </c>
      <c r="T30" s="6" t="s">
        <v>6</v>
      </c>
      <c r="U30" s="7" t="s">
        <v>31</v>
      </c>
      <c r="V30" s="5">
        <v>20</v>
      </c>
      <c r="W30" s="6" t="s">
        <v>4</v>
      </c>
      <c r="X30" s="5">
        <v>20</v>
      </c>
      <c r="Y30" s="5">
        <v>20</v>
      </c>
    </row>
    <row r="31" spans="1:25" x14ac:dyDescent="0.2">
      <c r="A31" s="8">
        <v>3849171</v>
      </c>
      <c r="B31" s="6" t="s">
        <v>30</v>
      </c>
      <c r="C31" s="6" t="s">
        <v>16</v>
      </c>
      <c r="D31" s="6" t="s">
        <v>15</v>
      </c>
      <c r="E31" s="6" t="s">
        <v>15</v>
      </c>
      <c r="F31" s="6" t="s">
        <v>14</v>
      </c>
      <c r="G31" s="6" t="s">
        <v>13</v>
      </c>
      <c r="H31" s="6" t="s">
        <v>11</v>
      </c>
      <c r="I31" s="6" t="s">
        <v>12</v>
      </c>
      <c r="J31" s="6" t="s">
        <v>11</v>
      </c>
      <c r="K31" s="6" t="s">
        <v>10</v>
      </c>
      <c r="L31" s="10">
        <v>4183103</v>
      </c>
      <c r="M31" s="9">
        <f>L31/$L$38</f>
        <v>5.799524966409543E-2</v>
      </c>
      <c r="N31" s="6" t="s">
        <v>26</v>
      </c>
      <c r="O31" s="5">
        <v>15</v>
      </c>
      <c r="P31" s="8">
        <v>15</v>
      </c>
      <c r="Q31" s="8">
        <v>0</v>
      </c>
      <c r="R31" s="6" t="s">
        <v>8</v>
      </c>
      <c r="S31" s="6" t="s">
        <v>29</v>
      </c>
      <c r="T31" s="6" t="s">
        <v>6</v>
      </c>
      <c r="U31" s="7" t="s">
        <v>5</v>
      </c>
      <c r="V31" s="5">
        <v>15</v>
      </c>
      <c r="W31" s="6" t="s">
        <v>4</v>
      </c>
      <c r="X31" s="5">
        <v>15</v>
      </c>
      <c r="Y31" s="5">
        <v>15</v>
      </c>
    </row>
    <row r="32" spans="1:25" x14ac:dyDescent="0.2">
      <c r="A32" s="8">
        <v>3849172</v>
      </c>
      <c r="B32" s="6" t="s">
        <v>28</v>
      </c>
      <c r="C32" s="6" t="s">
        <v>16</v>
      </c>
      <c r="D32" s="6" t="s">
        <v>15</v>
      </c>
      <c r="E32" s="6" t="s">
        <v>15</v>
      </c>
      <c r="F32" s="6" t="s">
        <v>14</v>
      </c>
      <c r="G32" s="6" t="s">
        <v>13</v>
      </c>
      <c r="H32" s="6" t="s">
        <v>11</v>
      </c>
      <c r="I32" s="6" t="s">
        <v>12</v>
      </c>
      <c r="J32" s="6" t="s">
        <v>12</v>
      </c>
      <c r="K32" s="6" t="s">
        <v>10</v>
      </c>
      <c r="L32" s="10">
        <v>3847575</v>
      </c>
      <c r="M32" s="9">
        <f>L32/$L$38</f>
        <v>5.3343432549074692E-2</v>
      </c>
      <c r="N32" s="6" t="s">
        <v>26</v>
      </c>
      <c r="O32" s="5">
        <v>15</v>
      </c>
      <c r="P32" s="8">
        <v>15</v>
      </c>
      <c r="Q32" s="8">
        <v>0</v>
      </c>
      <c r="R32" s="6" t="s">
        <v>8</v>
      </c>
      <c r="S32" s="6" t="s">
        <v>18</v>
      </c>
      <c r="T32" s="6" t="s">
        <v>6</v>
      </c>
      <c r="U32" s="7" t="s">
        <v>5</v>
      </c>
      <c r="V32" s="5">
        <v>15</v>
      </c>
      <c r="W32" s="6" t="s">
        <v>4</v>
      </c>
      <c r="X32" s="5">
        <v>15</v>
      </c>
      <c r="Y32" s="5">
        <v>15</v>
      </c>
    </row>
    <row r="33" spans="1:25" x14ac:dyDescent="0.2">
      <c r="A33" s="8">
        <v>3849173</v>
      </c>
      <c r="B33" s="6" t="s">
        <v>27</v>
      </c>
      <c r="C33" s="6" t="s">
        <v>16</v>
      </c>
      <c r="D33" s="6" t="s">
        <v>15</v>
      </c>
      <c r="E33" s="6" t="s">
        <v>15</v>
      </c>
      <c r="F33" s="6" t="s">
        <v>14</v>
      </c>
      <c r="G33" s="6" t="s">
        <v>13</v>
      </c>
      <c r="H33" s="6" t="s">
        <v>11</v>
      </c>
      <c r="I33" s="6" t="s">
        <v>12</v>
      </c>
      <c r="J33" s="6" t="s">
        <v>11</v>
      </c>
      <c r="K33" s="6" t="s">
        <v>10</v>
      </c>
      <c r="L33" s="10">
        <v>454320</v>
      </c>
      <c r="M33" s="9">
        <f>L33/$L$38</f>
        <v>6.2987695563297957E-3</v>
      </c>
      <c r="N33" s="6" t="s">
        <v>26</v>
      </c>
      <c r="O33" s="5">
        <v>15</v>
      </c>
      <c r="P33" s="8">
        <v>15</v>
      </c>
      <c r="Q33" s="8">
        <v>0</v>
      </c>
      <c r="R33" s="6" t="s">
        <v>8</v>
      </c>
      <c r="S33" s="6" t="s">
        <v>25</v>
      </c>
      <c r="T33" s="6" t="s">
        <v>6</v>
      </c>
      <c r="U33" s="7" t="s">
        <v>5</v>
      </c>
      <c r="V33" s="5">
        <v>15</v>
      </c>
      <c r="W33" s="6" t="s">
        <v>4</v>
      </c>
      <c r="X33" s="5">
        <v>15</v>
      </c>
      <c r="Y33" s="5">
        <v>15</v>
      </c>
    </row>
    <row r="34" spans="1:25" x14ac:dyDescent="0.2">
      <c r="A34" s="8">
        <v>3849174</v>
      </c>
      <c r="B34" s="6" t="s">
        <v>24</v>
      </c>
      <c r="C34" s="6" t="s">
        <v>16</v>
      </c>
      <c r="D34" s="6" t="s">
        <v>15</v>
      </c>
      <c r="E34" s="6" t="s">
        <v>15</v>
      </c>
      <c r="F34" s="6" t="s">
        <v>14</v>
      </c>
      <c r="G34" s="6" t="s">
        <v>21</v>
      </c>
      <c r="H34" s="6" t="s">
        <v>11</v>
      </c>
      <c r="I34" s="6" t="s">
        <v>12</v>
      </c>
      <c r="J34" s="6" t="s">
        <v>11</v>
      </c>
      <c r="K34" s="6" t="s">
        <v>10</v>
      </c>
      <c r="L34" s="10">
        <v>406245</v>
      </c>
      <c r="M34" s="9">
        <f>L34/$L$38</f>
        <v>5.6322496003063868E-3</v>
      </c>
      <c r="N34" s="6" t="s">
        <v>9</v>
      </c>
      <c r="O34" s="5">
        <v>15</v>
      </c>
      <c r="P34" s="8">
        <v>15</v>
      </c>
      <c r="Q34" s="8">
        <v>0</v>
      </c>
      <c r="R34" s="6" t="s">
        <v>8</v>
      </c>
      <c r="S34" s="6" t="s">
        <v>23</v>
      </c>
      <c r="T34" s="6" t="s">
        <v>6</v>
      </c>
      <c r="U34" s="7" t="s">
        <v>5</v>
      </c>
      <c r="V34" s="5">
        <v>15</v>
      </c>
      <c r="W34" s="6" t="s">
        <v>4</v>
      </c>
      <c r="X34" s="5">
        <v>15</v>
      </c>
      <c r="Y34" s="5">
        <v>15</v>
      </c>
    </row>
    <row r="35" spans="1:25" x14ac:dyDescent="0.2">
      <c r="A35" s="8">
        <v>3849175</v>
      </c>
      <c r="B35" s="6" t="s">
        <v>22</v>
      </c>
      <c r="C35" s="6" t="s">
        <v>16</v>
      </c>
      <c r="D35" s="6" t="s">
        <v>15</v>
      </c>
      <c r="E35" s="6" t="s">
        <v>15</v>
      </c>
      <c r="F35" s="6" t="s">
        <v>14</v>
      </c>
      <c r="G35" s="6" t="s">
        <v>21</v>
      </c>
      <c r="H35" s="6" t="s">
        <v>11</v>
      </c>
      <c r="I35" s="6" t="s">
        <v>12</v>
      </c>
      <c r="J35" s="6" t="s">
        <v>11</v>
      </c>
      <c r="K35" s="6" t="s">
        <v>10</v>
      </c>
      <c r="L35" s="10">
        <v>204161</v>
      </c>
      <c r="M35" s="9">
        <f>L35/$L$38</f>
        <v>2.8305227403368715E-3</v>
      </c>
      <c r="N35" s="6" t="s">
        <v>9</v>
      </c>
      <c r="O35" s="5">
        <v>15</v>
      </c>
      <c r="P35" s="8">
        <v>15</v>
      </c>
      <c r="Q35" s="8">
        <v>0</v>
      </c>
      <c r="R35" s="6" t="s">
        <v>8</v>
      </c>
      <c r="S35" s="6" t="s">
        <v>20</v>
      </c>
      <c r="T35" s="6" t="s">
        <v>6</v>
      </c>
      <c r="U35" s="7" t="s">
        <v>5</v>
      </c>
      <c r="V35" s="5">
        <v>15</v>
      </c>
      <c r="W35" s="6" t="s">
        <v>4</v>
      </c>
      <c r="X35" s="5">
        <v>15</v>
      </c>
      <c r="Y35" s="5">
        <v>15</v>
      </c>
    </row>
    <row r="36" spans="1:25" x14ac:dyDescent="0.2">
      <c r="A36" s="8">
        <v>3849176</v>
      </c>
      <c r="B36" s="6" t="s">
        <v>19</v>
      </c>
      <c r="C36" s="6" t="s">
        <v>16</v>
      </c>
      <c r="D36" s="6" t="s">
        <v>15</v>
      </c>
      <c r="E36" s="6" t="s">
        <v>15</v>
      </c>
      <c r="F36" s="6" t="s">
        <v>14</v>
      </c>
      <c r="G36" s="6" t="s">
        <v>13</v>
      </c>
      <c r="H36" s="6" t="s">
        <v>11</v>
      </c>
      <c r="I36" s="6" t="s">
        <v>12</v>
      </c>
      <c r="J36" s="6" t="s">
        <v>12</v>
      </c>
      <c r="K36" s="6" t="s">
        <v>10</v>
      </c>
      <c r="L36" s="10">
        <v>2492173</v>
      </c>
      <c r="M36" s="9">
        <f>L36/$L$38</f>
        <v>3.4551909274315673E-2</v>
      </c>
      <c r="N36" s="6" t="s">
        <v>9</v>
      </c>
      <c r="O36" s="5">
        <v>15</v>
      </c>
      <c r="P36" s="8">
        <v>15</v>
      </c>
      <c r="Q36" s="8">
        <v>0</v>
      </c>
      <c r="R36" s="6" t="s">
        <v>8</v>
      </c>
      <c r="S36" s="6" t="s">
        <v>18</v>
      </c>
      <c r="T36" s="6" t="s">
        <v>6</v>
      </c>
      <c r="U36" s="7" t="s">
        <v>5</v>
      </c>
      <c r="V36" s="5">
        <v>15</v>
      </c>
      <c r="W36" s="6" t="s">
        <v>4</v>
      </c>
      <c r="X36" s="5">
        <v>15</v>
      </c>
      <c r="Y36" s="5">
        <v>15</v>
      </c>
    </row>
    <row r="37" spans="1:25" x14ac:dyDescent="0.2">
      <c r="A37" s="8">
        <v>3849177</v>
      </c>
      <c r="B37" s="6" t="s">
        <v>17</v>
      </c>
      <c r="C37" s="6" t="s">
        <v>16</v>
      </c>
      <c r="D37" s="6" t="s">
        <v>15</v>
      </c>
      <c r="E37" s="6" t="s">
        <v>15</v>
      </c>
      <c r="F37" s="6" t="s">
        <v>14</v>
      </c>
      <c r="G37" s="6" t="s">
        <v>13</v>
      </c>
      <c r="H37" s="6" t="s">
        <v>11</v>
      </c>
      <c r="I37" s="6" t="s">
        <v>12</v>
      </c>
      <c r="J37" s="6" t="s">
        <v>11</v>
      </c>
      <c r="K37" s="6" t="s">
        <v>10</v>
      </c>
      <c r="L37" s="10">
        <v>1067090</v>
      </c>
      <c r="M37" s="9">
        <f>L37/$L$38</f>
        <v>1.4794316794030555E-2</v>
      </c>
      <c r="N37" s="6" t="s">
        <v>9</v>
      </c>
      <c r="O37" s="5">
        <v>15</v>
      </c>
      <c r="P37" s="8">
        <v>15</v>
      </c>
      <c r="Q37" s="8">
        <v>0</v>
      </c>
      <c r="R37" s="6" t="s">
        <v>8</v>
      </c>
      <c r="S37" s="6" t="s">
        <v>7</v>
      </c>
      <c r="T37" s="6" t="s">
        <v>6</v>
      </c>
      <c r="U37" s="7" t="s">
        <v>5</v>
      </c>
      <c r="V37" s="5">
        <v>15</v>
      </c>
      <c r="W37" s="6" t="s">
        <v>4</v>
      </c>
      <c r="X37" s="5">
        <v>15</v>
      </c>
      <c r="Y37" s="5">
        <v>15</v>
      </c>
    </row>
    <row r="38" spans="1:25" x14ac:dyDescent="0.2">
      <c r="L38" s="1">
        <f>SUM(L2:L37)</f>
        <v>72128373</v>
      </c>
      <c r="M38" s="4">
        <f>SUM(M2:M37)</f>
        <v>1</v>
      </c>
      <c r="P38" s="3">
        <f>SUMPRODUCT($M$2:$M$37,P2:P37)</f>
        <v>16.410736659760783</v>
      </c>
      <c r="Q38" s="3"/>
      <c r="R38" s="3"/>
      <c r="S38" s="3"/>
      <c r="T38" s="3"/>
      <c r="U38" s="3"/>
      <c r="V38" s="3">
        <f>SUMPRODUCT($M$2:$M$37,V2:V37)</f>
        <v>14.492467409461737</v>
      </c>
      <c r="W38" s="3"/>
      <c r="X38" s="3">
        <f>SUMPRODUCT($M$2:$M$37,X2:X37)</f>
        <v>15.462999685297211</v>
      </c>
      <c r="Y38" s="3">
        <f>SUMPRODUCT($M$2:$M$37,Y2:Y37)</f>
        <v>14.602869386780705</v>
      </c>
    </row>
    <row r="39" spans="1:25" x14ac:dyDescent="0.2">
      <c r="P39" s="2" t="s">
        <v>3</v>
      </c>
      <c r="Q39" s="2"/>
      <c r="R39" s="2"/>
      <c r="S39" s="2"/>
      <c r="T39" s="2"/>
      <c r="U39" s="2"/>
      <c r="V39" s="2" t="s">
        <v>2</v>
      </c>
      <c r="W39" s="2"/>
      <c r="X39" s="2" t="s">
        <v>1</v>
      </c>
      <c r="Y39" s="2" t="s">
        <v>0</v>
      </c>
    </row>
  </sheetData>
  <autoFilter ref="A1:Y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9"/>
  <sheetViews>
    <sheetView workbookViewId="0">
      <selection activeCell="J28" sqref="J28"/>
    </sheetView>
  </sheetViews>
  <sheetFormatPr defaultRowHeight="12.75" x14ac:dyDescent="0.2"/>
  <cols>
    <col min="13" max="13" width="8.85546875" style="1" customWidth="1"/>
  </cols>
  <sheetData>
    <row r="1" spans="1:24" x14ac:dyDescent="0.2">
      <c r="A1" s="2" t="s">
        <v>129</v>
      </c>
      <c r="B1" s="2" t="s">
        <v>128</v>
      </c>
      <c r="C1" s="2" t="s">
        <v>127</v>
      </c>
      <c r="D1" s="2" t="s">
        <v>126</v>
      </c>
      <c r="E1" s="2" t="s">
        <v>125</v>
      </c>
      <c r="F1" s="2" t="s">
        <v>124</v>
      </c>
      <c r="G1" s="2" t="s">
        <v>123</v>
      </c>
      <c r="H1" s="2" t="s">
        <v>122</v>
      </c>
      <c r="I1" s="2" t="s">
        <v>121</v>
      </c>
      <c r="J1" s="2" t="s">
        <v>120</v>
      </c>
      <c r="K1" s="2" t="s">
        <v>119</v>
      </c>
      <c r="L1" s="2" t="s">
        <v>116</v>
      </c>
      <c r="M1" s="13" t="s">
        <v>117</v>
      </c>
      <c r="N1" s="2" t="s">
        <v>115</v>
      </c>
      <c r="O1" s="2" t="s">
        <v>114</v>
      </c>
      <c r="P1" s="2" t="s">
        <v>113</v>
      </c>
      <c r="Q1" s="2" t="s">
        <v>112</v>
      </c>
      <c r="R1" s="2" t="s">
        <v>111</v>
      </c>
      <c r="S1" s="2" t="s">
        <v>110</v>
      </c>
      <c r="T1" s="2" t="s">
        <v>109</v>
      </c>
      <c r="U1" s="2" t="s">
        <v>108</v>
      </c>
      <c r="V1" s="2" t="s">
        <v>107</v>
      </c>
      <c r="W1" s="2" t="s">
        <v>106</v>
      </c>
      <c r="X1" s="2" t="s">
        <v>105</v>
      </c>
    </row>
    <row r="2" spans="1:24" x14ac:dyDescent="0.2">
      <c r="A2" s="8">
        <v>3368834</v>
      </c>
      <c r="B2" s="6" t="s">
        <v>104</v>
      </c>
      <c r="C2" s="6" t="s">
        <v>16</v>
      </c>
      <c r="D2" s="6" t="s">
        <v>15</v>
      </c>
      <c r="E2" s="6" t="s">
        <v>15</v>
      </c>
      <c r="F2" s="6" t="s">
        <v>14</v>
      </c>
      <c r="G2" s="6" t="s">
        <v>13</v>
      </c>
      <c r="H2" s="6" t="s">
        <v>11</v>
      </c>
      <c r="I2" s="6" t="s">
        <v>12</v>
      </c>
      <c r="J2" s="6" t="s">
        <v>11</v>
      </c>
      <c r="K2" s="6" t="s">
        <v>10</v>
      </c>
      <c r="L2" s="6">
        <v>9899</v>
      </c>
      <c r="M2" s="16">
        <f>L2/$L$38</f>
        <v>1.9256731783042248E-2</v>
      </c>
      <c r="N2" s="5">
        <v>10</v>
      </c>
      <c r="O2" s="8">
        <v>10</v>
      </c>
      <c r="P2" s="8">
        <v>0</v>
      </c>
      <c r="Q2" s="6" t="s">
        <v>8</v>
      </c>
      <c r="R2" s="6" t="s">
        <v>103</v>
      </c>
      <c r="S2" s="6" t="s">
        <v>6</v>
      </c>
      <c r="T2" s="7" t="s">
        <v>10</v>
      </c>
      <c r="U2" s="5">
        <v>10</v>
      </c>
      <c r="V2" s="6" t="s">
        <v>4</v>
      </c>
      <c r="W2" s="5">
        <v>10</v>
      </c>
      <c r="X2" s="5">
        <v>10</v>
      </c>
    </row>
    <row r="3" spans="1:24" x14ac:dyDescent="0.2">
      <c r="A3" s="8">
        <v>3368835</v>
      </c>
      <c r="B3" s="6" t="s">
        <v>102</v>
      </c>
      <c r="C3" s="6" t="s">
        <v>16</v>
      </c>
      <c r="D3" s="6" t="s">
        <v>15</v>
      </c>
      <c r="E3" s="6" t="s">
        <v>15</v>
      </c>
      <c r="F3" s="6" t="s">
        <v>14</v>
      </c>
      <c r="G3" s="6" t="s">
        <v>21</v>
      </c>
      <c r="H3" s="6" t="s">
        <v>11</v>
      </c>
      <c r="I3" s="6" t="s">
        <v>12</v>
      </c>
      <c r="J3" s="6" t="s">
        <v>12</v>
      </c>
      <c r="K3" s="6" t="s">
        <v>10</v>
      </c>
      <c r="L3" s="6">
        <v>9899</v>
      </c>
      <c r="M3" s="16">
        <f>L3/$L$38</f>
        <v>1.9256731783042248E-2</v>
      </c>
      <c r="N3" s="5">
        <v>10</v>
      </c>
      <c r="O3" s="8">
        <v>10</v>
      </c>
      <c r="P3" s="8">
        <v>0</v>
      </c>
      <c r="Q3" s="6" t="s">
        <v>8</v>
      </c>
      <c r="R3" s="6" t="s">
        <v>101</v>
      </c>
      <c r="S3" s="6" t="s">
        <v>6</v>
      </c>
      <c r="T3" s="7" t="s">
        <v>10</v>
      </c>
      <c r="U3" s="5">
        <v>10</v>
      </c>
      <c r="V3" s="6" t="s">
        <v>4</v>
      </c>
      <c r="W3" s="5">
        <v>10</v>
      </c>
      <c r="X3" s="5">
        <v>10</v>
      </c>
    </row>
    <row r="4" spans="1:24" x14ac:dyDescent="0.2">
      <c r="A4" s="8">
        <v>3368837</v>
      </c>
      <c r="B4" s="6" t="s">
        <v>100</v>
      </c>
      <c r="C4" s="6" t="s">
        <v>16</v>
      </c>
      <c r="D4" s="6" t="s">
        <v>15</v>
      </c>
      <c r="E4" s="6" t="s">
        <v>15</v>
      </c>
      <c r="F4" s="6" t="s">
        <v>14</v>
      </c>
      <c r="G4" s="6" t="s">
        <v>21</v>
      </c>
      <c r="H4" s="6" t="s">
        <v>11</v>
      </c>
      <c r="I4" s="6" t="s">
        <v>12</v>
      </c>
      <c r="J4" s="6" t="s">
        <v>11</v>
      </c>
      <c r="K4" s="6" t="s">
        <v>10</v>
      </c>
      <c r="L4" s="6">
        <v>11699</v>
      </c>
      <c r="M4" s="16">
        <f>L4/$L$38</f>
        <v>2.2758309438308037E-2</v>
      </c>
      <c r="N4" s="5">
        <v>10</v>
      </c>
      <c r="O4" s="8">
        <v>10</v>
      </c>
      <c r="P4" s="8">
        <v>0</v>
      </c>
      <c r="Q4" s="6" t="s">
        <v>8</v>
      </c>
      <c r="R4" s="6" t="s">
        <v>99</v>
      </c>
      <c r="S4" s="6" t="s">
        <v>6</v>
      </c>
      <c r="T4" s="7" t="s">
        <v>10</v>
      </c>
      <c r="U4" s="5">
        <v>10</v>
      </c>
      <c r="V4" s="6" t="s">
        <v>4</v>
      </c>
      <c r="W4" s="5">
        <v>10</v>
      </c>
      <c r="X4" s="5">
        <v>10</v>
      </c>
    </row>
    <row r="5" spans="1:24" x14ac:dyDescent="0.2">
      <c r="A5" s="8">
        <v>3368838</v>
      </c>
      <c r="B5" s="6" t="s">
        <v>98</v>
      </c>
      <c r="C5" s="6" t="s">
        <v>16</v>
      </c>
      <c r="D5" s="6" t="s">
        <v>15</v>
      </c>
      <c r="E5" s="6" t="s">
        <v>15</v>
      </c>
      <c r="F5" s="6" t="s">
        <v>14</v>
      </c>
      <c r="G5" s="6" t="s">
        <v>21</v>
      </c>
      <c r="H5" s="6" t="s">
        <v>11</v>
      </c>
      <c r="I5" s="6" t="s">
        <v>12</v>
      </c>
      <c r="J5" s="6" t="s">
        <v>12</v>
      </c>
      <c r="K5" s="6" t="s">
        <v>10</v>
      </c>
      <c r="L5" s="6">
        <v>9899</v>
      </c>
      <c r="M5" s="16">
        <f>L5/$L$38</f>
        <v>1.9256731783042248E-2</v>
      </c>
      <c r="N5" s="5">
        <v>10</v>
      </c>
      <c r="O5" s="8">
        <v>10</v>
      </c>
      <c r="P5" s="8">
        <v>0</v>
      </c>
      <c r="Q5" s="6" t="s">
        <v>8</v>
      </c>
      <c r="R5" s="6" t="s">
        <v>96</v>
      </c>
      <c r="S5" s="6" t="s">
        <v>6</v>
      </c>
      <c r="T5" s="7" t="s">
        <v>10</v>
      </c>
      <c r="U5" s="5">
        <v>10</v>
      </c>
      <c r="V5" s="6" t="s">
        <v>4</v>
      </c>
      <c r="W5" s="5">
        <v>10</v>
      </c>
      <c r="X5" s="5">
        <v>10</v>
      </c>
    </row>
    <row r="6" spans="1:24" x14ac:dyDescent="0.2">
      <c r="A6" s="8">
        <v>3368839</v>
      </c>
      <c r="B6" s="6" t="s">
        <v>95</v>
      </c>
      <c r="C6" s="6" t="s">
        <v>16</v>
      </c>
      <c r="D6" s="6" t="s">
        <v>15</v>
      </c>
      <c r="E6" s="6" t="s">
        <v>15</v>
      </c>
      <c r="F6" s="6" t="s">
        <v>14</v>
      </c>
      <c r="G6" s="6" t="s">
        <v>21</v>
      </c>
      <c r="H6" s="6" t="s">
        <v>11</v>
      </c>
      <c r="I6" s="6" t="s">
        <v>12</v>
      </c>
      <c r="J6" s="6" t="s">
        <v>11</v>
      </c>
      <c r="K6" s="6" t="s">
        <v>10</v>
      </c>
      <c r="L6" s="6">
        <v>11699</v>
      </c>
      <c r="M6" s="16">
        <f>L6/$L$38</f>
        <v>2.2758309438308037E-2</v>
      </c>
      <c r="N6" s="5">
        <v>10</v>
      </c>
      <c r="O6" s="8">
        <v>10</v>
      </c>
      <c r="P6" s="8">
        <v>0</v>
      </c>
      <c r="Q6" s="6" t="s">
        <v>8</v>
      </c>
      <c r="R6" s="6" t="s">
        <v>92</v>
      </c>
      <c r="S6" s="6" t="s">
        <v>6</v>
      </c>
      <c r="T6" s="7" t="s">
        <v>10</v>
      </c>
      <c r="U6" s="5">
        <v>10</v>
      </c>
      <c r="V6" s="6" t="s">
        <v>4</v>
      </c>
      <c r="W6" s="5">
        <v>10</v>
      </c>
      <c r="X6" s="5">
        <v>10</v>
      </c>
    </row>
    <row r="7" spans="1:24" x14ac:dyDescent="0.2">
      <c r="A7" s="8">
        <v>3368840</v>
      </c>
      <c r="B7" s="6" t="s">
        <v>94</v>
      </c>
      <c r="C7" s="6" t="s">
        <v>16</v>
      </c>
      <c r="D7" s="6" t="s">
        <v>15</v>
      </c>
      <c r="E7" s="6" t="s">
        <v>15</v>
      </c>
      <c r="F7" s="6" t="s">
        <v>14</v>
      </c>
      <c r="G7" s="6" t="s">
        <v>21</v>
      </c>
      <c r="H7" s="6" t="s">
        <v>11</v>
      </c>
      <c r="I7" s="6" t="s">
        <v>12</v>
      </c>
      <c r="J7" s="6" t="s">
        <v>11</v>
      </c>
      <c r="K7" s="6" t="s">
        <v>10</v>
      </c>
      <c r="L7" s="6">
        <v>11699</v>
      </c>
      <c r="M7" s="16">
        <f>L7/$L$38</f>
        <v>2.2758309438308037E-2</v>
      </c>
      <c r="N7" s="5">
        <v>10</v>
      </c>
      <c r="O7" s="8">
        <v>10</v>
      </c>
      <c r="P7" s="8">
        <v>0</v>
      </c>
      <c r="Q7" s="6" t="s">
        <v>8</v>
      </c>
      <c r="R7" s="6" t="s">
        <v>92</v>
      </c>
      <c r="S7" s="6" t="s">
        <v>6</v>
      </c>
      <c r="T7" s="7" t="s">
        <v>10</v>
      </c>
      <c r="U7" s="5">
        <v>10</v>
      </c>
      <c r="V7" s="6" t="s">
        <v>4</v>
      </c>
      <c r="W7" s="5">
        <v>10</v>
      </c>
      <c r="X7" s="5">
        <v>10</v>
      </c>
    </row>
    <row r="8" spans="1:24" x14ac:dyDescent="0.2">
      <c r="A8" s="8">
        <v>3540058</v>
      </c>
      <c r="B8" s="6" t="s">
        <v>91</v>
      </c>
      <c r="C8" s="6" t="s">
        <v>16</v>
      </c>
      <c r="D8" s="6" t="s">
        <v>15</v>
      </c>
      <c r="E8" s="6" t="s">
        <v>15</v>
      </c>
      <c r="F8" s="6" t="s">
        <v>14</v>
      </c>
      <c r="G8" s="6" t="s">
        <v>21</v>
      </c>
      <c r="H8" s="6" t="s">
        <v>11</v>
      </c>
      <c r="I8" s="6" t="s">
        <v>12</v>
      </c>
      <c r="J8" s="6" t="s">
        <v>11</v>
      </c>
      <c r="K8" s="6" t="s">
        <v>87</v>
      </c>
      <c r="L8" s="6">
        <v>4899</v>
      </c>
      <c r="M8" s="16">
        <f>L8/$L$38</f>
        <v>9.5301271850817236E-3</v>
      </c>
      <c r="N8" s="5">
        <v>10</v>
      </c>
      <c r="O8" s="8">
        <v>10</v>
      </c>
      <c r="P8" s="8">
        <v>0</v>
      </c>
      <c r="Q8" s="6" t="s">
        <v>8</v>
      </c>
      <c r="R8" s="6" t="s">
        <v>89</v>
      </c>
      <c r="S8" s="6" t="s">
        <v>6</v>
      </c>
      <c r="T8" s="7" t="s">
        <v>10</v>
      </c>
      <c r="U8" s="5">
        <v>10</v>
      </c>
      <c r="V8" s="6" t="s">
        <v>4</v>
      </c>
      <c r="W8" s="5">
        <v>10</v>
      </c>
      <c r="X8" s="5">
        <v>10</v>
      </c>
    </row>
    <row r="9" spans="1:24" x14ac:dyDescent="0.2">
      <c r="A9" s="8">
        <v>3540061</v>
      </c>
      <c r="B9" s="6" t="s">
        <v>90</v>
      </c>
      <c r="C9" s="6" t="s">
        <v>16</v>
      </c>
      <c r="D9" s="6" t="s">
        <v>15</v>
      </c>
      <c r="E9" s="6" t="s">
        <v>15</v>
      </c>
      <c r="F9" s="6" t="s">
        <v>14</v>
      </c>
      <c r="G9" s="6" t="s">
        <v>21</v>
      </c>
      <c r="H9" s="6" t="s">
        <v>11</v>
      </c>
      <c r="I9" s="6" t="s">
        <v>12</v>
      </c>
      <c r="J9" s="6" t="s">
        <v>11</v>
      </c>
      <c r="K9" s="6" t="s">
        <v>87</v>
      </c>
      <c r="L9" s="6">
        <v>4899</v>
      </c>
      <c r="M9" s="16">
        <f>L9/$L$38</f>
        <v>9.5301271850817236E-3</v>
      </c>
      <c r="N9" s="5">
        <v>10</v>
      </c>
      <c r="O9" s="8">
        <v>10</v>
      </c>
      <c r="P9" s="8">
        <v>0</v>
      </c>
      <c r="Q9" s="6" t="s">
        <v>8</v>
      </c>
      <c r="R9" s="6" t="s">
        <v>89</v>
      </c>
      <c r="S9" s="6" t="s">
        <v>6</v>
      </c>
      <c r="T9" s="7" t="s">
        <v>10</v>
      </c>
      <c r="U9" s="5">
        <v>10</v>
      </c>
      <c r="V9" s="6" t="s">
        <v>4</v>
      </c>
      <c r="W9" s="5">
        <v>10</v>
      </c>
      <c r="X9" s="5">
        <v>10</v>
      </c>
    </row>
    <row r="10" spans="1:24" x14ac:dyDescent="0.2">
      <c r="A10" s="8">
        <v>3540063</v>
      </c>
      <c r="B10" s="6" t="s">
        <v>88</v>
      </c>
      <c r="C10" s="6" t="s">
        <v>16</v>
      </c>
      <c r="D10" s="6" t="s">
        <v>15</v>
      </c>
      <c r="E10" s="6" t="s">
        <v>15</v>
      </c>
      <c r="F10" s="6" t="s">
        <v>14</v>
      </c>
      <c r="G10" s="6" t="s">
        <v>21</v>
      </c>
      <c r="H10" s="6" t="s">
        <v>11</v>
      </c>
      <c r="I10" s="6" t="s">
        <v>12</v>
      </c>
      <c r="J10" s="6" t="s">
        <v>11</v>
      </c>
      <c r="K10" s="6" t="s">
        <v>87</v>
      </c>
      <c r="L10" s="6">
        <v>4899</v>
      </c>
      <c r="M10" s="16">
        <f>L10/$L$38</f>
        <v>9.5301271850817236E-3</v>
      </c>
      <c r="N10" s="5">
        <v>10</v>
      </c>
      <c r="O10" s="8">
        <v>10</v>
      </c>
      <c r="P10" s="8">
        <v>0</v>
      </c>
      <c r="Q10" s="6" t="s">
        <v>8</v>
      </c>
      <c r="R10" s="6" t="s">
        <v>85</v>
      </c>
      <c r="S10" s="6" t="s">
        <v>6</v>
      </c>
      <c r="T10" s="7" t="s">
        <v>10</v>
      </c>
      <c r="U10" s="5">
        <v>10</v>
      </c>
      <c r="V10" s="6" t="s">
        <v>4</v>
      </c>
      <c r="W10" s="5">
        <v>10</v>
      </c>
      <c r="X10" s="5">
        <v>10</v>
      </c>
    </row>
    <row r="11" spans="1:24" x14ac:dyDescent="0.2">
      <c r="A11" s="8">
        <v>3559715</v>
      </c>
      <c r="B11" s="6" t="s">
        <v>84</v>
      </c>
      <c r="C11" s="6" t="s">
        <v>47</v>
      </c>
      <c r="D11" s="6" t="s">
        <v>15</v>
      </c>
      <c r="E11" s="6" t="s">
        <v>15</v>
      </c>
      <c r="F11" s="6" t="s">
        <v>14</v>
      </c>
      <c r="G11" s="6" t="s">
        <v>21</v>
      </c>
      <c r="H11" s="6" t="s">
        <v>11</v>
      </c>
      <c r="I11" s="6" t="s">
        <v>12</v>
      </c>
      <c r="J11" s="6" t="s">
        <v>12</v>
      </c>
      <c r="K11" s="6" t="s">
        <v>80</v>
      </c>
      <c r="L11" s="6">
        <v>6199</v>
      </c>
      <c r="M11" s="16">
        <f>L11/$L$38</f>
        <v>1.205904438055146E-2</v>
      </c>
      <c r="N11" s="11">
        <v>15</v>
      </c>
      <c r="O11" s="8">
        <v>18</v>
      </c>
      <c r="P11" s="8">
        <v>3</v>
      </c>
      <c r="Q11" s="6" t="s">
        <v>52</v>
      </c>
      <c r="R11" s="6" t="s">
        <v>83</v>
      </c>
      <c r="S11" s="6" t="s">
        <v>6</v>
      </c>
      <c r="T11" s="12" t="s">
        <v>43</v>
      </c>
      <c r="U11" s="11">
        <v>10</v>
      </c>
      <c r="V11" s="6" t="s">
        <v>4</v>
      </c>
      <c r="W11" s="11">
        <v>15</v>
      </c>
      <c r="X11" s="11">
        <v>10</v>
      </c>
    </row>
    <row r="12" spans="1:24" x14ac:dyDescent="0.2">
      <c r="A12" s="8">
        <v>3559716</v>
      </c>
      <c r="B12" s="6" t="s">
        <v>82</v>
      </c>
      <c r="C12" s="6" t="s">
        <v>47</v>
      </c>
      <c r="D12" s="6" t="s">
        <v>15</v>
      </c>
      <c r="E12" s="6" t="s">
        <v>15</v>
      </c>
      <c r="F12" s="6" t="s">
        <v>14</v>
      </c>
      <c r="G12" s="6" t="s">
        <v>21</v>
      </c>
      <c r="H12" s="6" t="s">
        <v>11</v>
      </c>
      <c r="I12" s="6" t="s">
        <v>12</v>
      </c>
      <c r="J12" s="6" t="s">
        <v>12</v>
      </c>
      <c r="K12" s="6" t="s">
        <v>80</v>
      </c>
      <c r="L12" s="6">
        <v>6199</v>
      </c>
      <c r="M12" s="16">
        <f>L12/$L$38</f>
        <v>1.205904438055146E-2</v>
      </c>
      <c r="N12" s="11">
        <v>15</v>
      </c>
      <c r="O12" s="8">
        <v>18</v>
      </c>
      <c r="P12" s="8">
        <v>3</v>
      </c>
      <c r="Q12" s="6" t="s">
        <v>52</v>
      </c>
      <c r="R12" s="6" t="s">
        <v>32</v>
      </c>
      <c r="S12" s="6" t="s">
        <v>6</v>
      </c>
      <c r="T12" s="12" t="s">
        <v>43</v>
      </c>
      <c r="U12" s="11">
        <v>10</v>
      </c>
      <c r="V12" s="6" t="s">
        <v>4</v>
      </c>
      <c r="W12" s="11">
        <v>15</v>
      </c>
      <c r="X12" s="11">
        <v>10</v>
      </c>
    </row>
    <row r="13" spans="1:24" x14ac:dyDescent="0.2">
      <c r="A13" s="8">
        <v>3559717</v>
      </c>
      <c r="B13" s="6" t="s">
        <v>81</v>
      </c>
      <c r="C13" s="6" t="s">
        <v>47</v>
      </c>
      <c r="D13" s="6" t="s">
        <v>15</v>
      </c>
      <c r="E13" s="6" t="s">
        <v>15</v>
      </c>
      <c r="F13" s="6" t="s">
        <v>14</v>
      </c>
      <c r="G13" s="6" t="s">
        <v>21</v>
      </c>
      <c r="H13" s="6" t="s">
        <v>11</v>
      </c>
      <c r="I13" s="6" t="s">
        <v>12</v>
      </c>
      <c r="J13" s="6" t="s">
        <v>12</v>
      </c>
      <c r="K13" s="6" t="s">
        <v>80</v>
      </c>
      <c r="L13" s="6">
        <v>6199</v>
      </c>
      <c r="M13" s="16">
        <f>L13/$L$38</f>
        <v>1.205904438055146E-2</v>
      </c>
      <c r="N13" s="11">
        <v>15</v>
      </c>
      <c r="O13" s="8">
        <v>18</v>
      </c>
      <c r="P13" s="8">
        <v>3</v>
      </c>
      <c r="Q13" s="6" t="s">
        <v>52</v>
      </c>
      <c r="R13" s="6" t="s">
        <v>78</v>
      </c>
      <c r="S13" s="6" t="s">
        <v>6</v>
      </c>
      <c r="T13" s="12" t="s">
        <v>43</v>
      </c>
      <c r="U13" s="11">
        <v>10</v>
      </c>
      <c r="V13" s="6" t="s">
        <v>4</v>
      </c>
      <c r="W13" s="11">
        <v>15</v>
      </c>
      <c r="X13" s="11">
        <v>10</v>
      </c>
    </row>
    <row r="14" spans="1:24" x14ac:dyDescent="0.2">
      <c r="A14" s="8">
        <v>3581942</v>
      </c>
      <c r="B14" s="6" t="s">
        <v>77</v>
      </c>
      <c r="C14" s="6" t="s">
        <v>70</v>
      </c>
      <c r="D14" s="6" t="s">
        <v>15</v>
      </c>
      <c r="E14" s="6" t="s">
        <v>15</v>
      </c>
      <c r="F14" s="6" t="s">
        <v>14</v>
      </c>
      <c r="G14" s="6" t="s">
        <v>21</v>
      </c>
      <c r="H14" s="6" t="s">
        <v>11</v>
      </c>
      <c r="I14" s="6" t="s">
        <v>12</v>
      </c>
      <c r="J14" s="6" t="s">
        <v>11</v>
      </c>
      <c r="K14" s="6" t="s">
        <v>76</v>
      </c>
      <c r="L14" s="6">
        <v>14999</v>
      </c>
      <c r="M14" s="16">
        <f>L14/$L$38</f>
        <v>2.9177868472961985E-2</v>
      </c>
      <c r="N14" s="11">
        <v>10</v>
      </c>
      <c r="O14" s="8">
        <v>18</v>
      </c>
      <c r="P14" s="8">
        <v>8</v>
      </c>
      <c r="Q14" s="6" t="s">
        <v>52</v>
      </c>
      <c r="R14" s="6" t="s">
        <v>74</v>
      </c>
      <c r="S14" s="6" t="s">
        <v>6</v>
      </c>
      <c r="T14" s="12" t="s">
        <v>43</v>
      </c>
      <c r="U14" s="11">
        <v>10</v>
      </c>
      <c r="V14" s="6" t="s">
        <v>4</v>
      </c>
      <c r="W14" s="11">
        <v>10</v>
      </c>
      <c r="X14" s="11">
        <v>10</v>
      </c>
    </row>
    <row r="15" spans="1:24" x14ac:dyDescent="0.2">
      <c r="A15" s="8">
        <v>3643326</v>
      </c>
      <c r="B15" s="6" t="s">
        <v>73</v>
      </c>
      <c r="C15" s="6" t="s">
        <v>70</v>
      </c>
      <c r="D15" s="6" t="s">
        <v>15</v>
      </c>
      <c r="E15" s="6" t="s">
        <v>15</v>
      </c>
      <c r="F15" s="6" t="s">
        <v>14</v>
      </c>
      <c r="G15" s="6" t="s">
        <v>21</v>
      </c>
      <c r="H15" s="6" t="s">
        <v>11</v>
      </c>
      <c r="I15" s="6" t="s">
        <v>12</v>
      </c>
      <c r="J15" s="6" t="s">
        <v>12</v>
      </c>
      <c r="K15" s="6" t="s">
        <v>8</v>
      </c>
      <c r="L15" s="6">
        <v>14444</v>
      </c>
      <c r="M15" s="16">
        <f>L15/$L$38</f>
        <v>2.8098215362588365E-2</v>
      </c>
      <c r="N15" s="11">
        <v>10</v>
      </c>
      <c r="O15" s="8">
        <v>18</v>
      </c>
      <c r="P15" s="8">
        <v>8</v>
      </c>
      <c r="Q15" s="6" t="s">
        <v>52</v>
      </c>
      <c r="R15" s="6" t="s">
        <v>72</v>
      </c>
      <c r="S15" s="6" t="s">
        <v>6</v>
      </c>
      <c r="T15" s="12" t="s">
        <v>43</v>
      </c>
      <c r="U15" s="11">
        <v>10</v>
      </c>
      <c r="V15" s="6" t="s">
        <v>4</v>
      </c>
      <c r="W15" s="11">
        <v>10</v>
      </c>
      <c r="X15" s="11">
        <v>10</v>
      </c>
    </row>
    <row r="16" spans="1:24" x14ac:dyDescent="0.2">
      <c r="A16" s="8">
        <v>3643327</v>
      </c>
      <c r="B16" s="6" t="s">
        <v>71</v>
      </c>
      <c r="C16" s="6" t="s">
        <v>70</v>
      </c>
      <c r="D16" s="6" t="s">
        <v>15</v>
      </c>
      <c r="E16" s="6" t="s">
        <v>15</v>
      </c>
      <c r="F16" s="6" t="s">
        <v>14</v>
      </c>
      <c r="G16" s="6" t="s">
        <v>21</v>
      </c>
      <c r="H16" s="6" t="s">
        <v>11</v>
      </c>
      <c r="I16" s="6" t="s">
        <v>12</v>
      </c>
      <c r="J16" s="6" t="s">
        <v>12</v>
      </c>
      <c r="K16" s="6" t="s">
        <v>8</v>
      </c>
      <c r="L16" s="6">
        <v>14444</v>
      </c>
      <c r="M16" s="16">
        <f>L16/$L$38</f>
        <v>2.8098215362588365E-2</v>
      </c>
      <c r="N16" s="11">
        <v>10</v>
      </c>
      <c r="O16" s="8">
        <v>18</v>
      </c>
      <c r="P16" s="8">
        <v>8</v>
      </c>
      <c r="Q16" s="6" t="s">
        <v>52</v>
      </c>
      <c r="R16" s="6" t="s">
        <v>68</v>
      </c>
      <c r="S16" s="6" t="s">
        <v>6</v>
      </c>
      <c r="T16" s="12" t="s">
        <v>43</v>
      </c>
      <c r="U16" s="11">
        <v>10</v>
      </c>
      <c r="V16" s="6" t="s">
        <v>4</v>
      </c>
      <c r="W16" s="11">
        <v>10</v>
      </c>
      <c r="X16" s="11">
        <v>10</v>
      </c>
    </row>
    <row r="17" spans="1:24" x14ac:dyDescent="0.2">
      <c r="A17" s="8">
        <v>3754179</v>
      </c>
      <c r="B17" s="6" t="s">
        <v>67</v>
      </c>
      <c r="C17" s="6" t="s">
        <v>47</v>
      </c>
      <c r="D17" s="6" t="s">
        <v>15</v>
      </c>
      <c r="E17" s="6" t="s">
        <v>15</v>
      </c>
      <c r="F17" s="6" t="s">
        <v>14</v>
      </c>
      <c r="G17" s="6" t="s">
        <v>13</v>
      </c>
      <c r="H17" s="6" t="s">
        <v>11</v>
      </c>
      <c r="I17" s="6" t="s">
        <v>12</v>
      </c>
      <c r="J17" s="6" t="s">
        <v>12</v>
      </c>
      <c r="K17" s="6" t="s">
        <v>65</v>
      </c>
      <c r="L17" s="6">
        <v>7999</v>
      </c>
      <c r="M17" s="16">
        <f>L17/$L$38</f>
        <v>1.5560622035817248E-2</v>
      </c>
      <c r="N17" s="11">
        <v>15</v>
      </c>
      <c r="O17" s="8">
        <v>18</v>
      </c>
      <c r="P17" s="8">
        <v>3</v>
      </c>
      <c r="Q17" s="6" t="s">
        <v>52</v>
      </c>
      <c r="R17" s="6" t="s">
        <v>63</v>
      </c>
      <c r="S17" s="6" t="s">
        <v>6</v>
      </c>
      <c r="T17" s="12" t="s">
        <v>43</v>
      </c>
      <c r="U17" s="11">
        <v>10</v>
      </c>
      <c r="V17" s="6" t="s">
        <v>4</v>
      </c>
      <c r="W17" s="11">
        <v>15</v>
      </c>
      <c r="X17" s="11">
        <v>10</v>
      </c>
    </row>
    <row r="18" spans="1:24" x14ac:dyDescent="0.2">
      <c r="A18" s="8">
        <v>3754181</v>
      </c>
      <c r="B18" s="6" t="s">
        <v>66</v>
      </c>
      <c r="C18" s="6" t="s">
        <v>47</v>
      </c>
      <c r="D18" s="6" t="s">
        <v>15</v>
      </c>
      <c r="E18" s="6" t="s">
        <v>15</v>
      </c>
      <c r="F18" s="6" t="s">
        <v>14</v>
      </c>
      <c r="G18" s="6" t="s">
        <v>13</v>
      </c>
      <c r="H18" s="6" t="s">
        <v>11</v>
      </c>
      <c r="I18" s="6" t="s">
        <v>12</v>
      </c>
      <c r="J18" s="6" t="s">
        <v>12</v>
      </c>
      <c r="K18" s="6" t="s">
        <v>65</v>
      </c>
      <c r="L18" s="6">
        <v>7999</v>
      </c>
      <c r="M18" s="16">
        <f>L18/$L$38</f>
        <v>1.5560622035817248E-2</v>
      </c>
      <c r="N18" s="11">
        <v>15</v>
      </c>
      <c r="O18" s="8">
        <v>18</v>
      </c>
      <c r="P18" s="8">
        <v>3</v>
      </c>
      <c r="Q18" s="6" t="s">
        <v>52</v>
      </c>
      <c r="R18" s="6" t="s">
        <v>63</v>
      </c>
      <c r="S18" s="6" t="s">
        <v>6</v>
      </c>
      <c r="T18" s="12" t="s">
        <v>43</v>
      </c>
      <c r="U18" s="11">
        <v>10</v>
      </c>
      <c r="V18" s="6" t="s">
        <v>4</v>
      </c>
      <c r="W18" s="11">
        <v>15</v>
      </c>
      <c r="X18" s="11">
        <v>10</v>
      </c>
    </row>
    <row r="19" spans="1:24" x14ac:dyDescent="0.2">
      <c r="A19" s="8">
        <v>3754182</v>
      </c>
      <c r="B19" s="6" t="s">
        <v>62</v>
      </c>
      <c r="C19" s="6" t="s">
        <v>47</v>
      </c>
      <c r="D19" s="6" t="s">
        <v>15</v>
      </c>
      <c r="E19" s="6" t="s">
        <v>15</v>
      </c>
      <c r="F19" s="6" t="s">
        <v>14</v>
      </c>
      <c r="G19" s="6" t="s">
        <v>13</v>
      </c>
      <c r="H19" s="6" t="s">
        <v>11</v>
      </c>
      <c r="I19" s="6" t="s">
        <v>12</v>
      </c>
      <c r="J19" s="6" t="s">
        <v>12</v>
      </c>
      <c r="K19" s="6" t="s">
        <v>60</v>
      </c>
      <c r="L19" s="6">
        <v>9499</v>
      </c>
      <c r="M19" s="16">
        <f>L19/$L$38</f>
        <v>1.8478603415205408E-2</v>
      </c>
      <c r="N19" s="11">
        <v>15</v>
      </c>
      <c r="O19" s="8">
        <v>18</v>
      </c>
      <c r="P19" s="8">
        <v>3</v>
      </c>
      <c r="Q19" s="6" t="s">
        <v>52</v>
      </c>
      <c r="R19" s="6" t="s">
        <v>58</v>
      </c>
      <c r="S19" s="6" t="s">
        <v>6</v>
      </c>
      <c r="T19" s="12" t="s">
        <v>43</v>
      </c>
      <c r="U19" s="11">
        <v>10</v>
      </c>
      <c r="V19" s="6" t="s">
        <v>4</v>
      </c>
      <c r="W19" s="11">
        <v>15</v>
      </c>
      <c r="X19" s="11">
        <v>10</v>
      </c>
    </row>
    <row r="20" spans="1:24" x14ac:dyDescent="0.2">
      <c r="A20" s="8">
        <v>3754183</v>
      </c>
      <c r="B20" s="6" t="s">
        <v>61</v>
      </c>
      <c r="C20" s="6" t="s">
        <v>47</v>
      </c>
      <c r="D20" s="6" t="s">
        <v>15</v>
      </c>
      <c r="E20" s="6" t="s">
        <v>15</v>
      </c>
      <c r="F20" s="6" t="s">
        <v>14</v>
      </c>
      <c r="G20" s="6" t="s">
        <v>13</v>
      </c>
      <c r="H20" s="6" t="s">
        <v>11</v>
      </c>
      <c r="I20" s="6" t="s">
        <v>12</v>
      </c>
      <c r="J20" s="6" t="s">
        <v>12</v>
      </c>
      <c r="K20" s="6" t="s">
        <v>60</v>
      </c>
      <c r="L20" s="6">
        <v>9499</v>
      </c>
      <c r="M20" s="16">
        <f>L20/$L$38</f>
        <v>1.8478603415205408E-2</v>
      </c>
      <c r="N20" s="11">
        <v>15</v>
      </c>
      <c r="O20" s="8">
        <v>18</v>
      </c>
      <c r="P20" s="8">
        <v>3</v>
      </c>
      <c r="Q20" s="6" t="s">
        <v>52</v>
      </c>
      <c r="R20" s="6" t="s">
        <v>58</v>
      </c>
      <c r="S20" s="6" t="s">
        <v>6</v>
      </c>
      <c r="T20" s="12" t="s">
        <v>43</v>
      </c>
      <c r="U20" s="11">
        <v>10</v>
      </c>
      <c r="V20" s="6" t="s">
        <v>4</v>
      </c>
      <c r="W20" s="11">
        <v>15</v>
      </c>
      <c r="X20" s="11">
        <v>10</v>
      </c>
    </row>
    <row r="21" spans="1:24" x14ac:dyDescent="0.2">
      <c r="A21" s="8">
        <v>3754187</v>
      </c>
      <c r="B21" s="6" t="s">
        <v>57</v>
      </c>
      <c r="C21" s="6" t="s">
        <v>47</v>
      </c>
      <c r="D21" s="6" t="s">
        <v>15</v>
      </c>
      <c r="E21" s="6" t="s">
        <v>15</v>
      </c>
      <c r="F21" s="6" t="s">
        <v>14</v>
      </c>
      <c r="G21" s="6" t="s">
        <v>13</v>
      </c>
      <c r="H21" s="6" t="s">
        <v>11</v>
      </c>
      <c r="I21" s="6" t="s">
        <v>12</v>
      </c>
      <c r="J21" s="6" t="s">
        <v>12</v>
      </c>
      <c r="K21" s="6" t="s">
        <v>54</v>
      </c>
      <c r="L21" s="6">
        <v>13999</v>
      </c>
      <c r="M21" s="16">
        <f>L21/$L$38</f>
        <v>2.723254755336988E-2</v>
      </c>
      <c r="N21" s="11">
        <v>15</v>
      </c>
      <c r="O21" s="8">
        <v>18</v>
      </c>
      <c r="P21" s="8">
        <v>3</v>
      </c>
      <c r="Q21" s="6" t="s">
        <v>52</v>
      </c>
      <c r="R21" s="6" t="s">
        <v>56</v>
      </c>
      <c r="S21" s="6" t="s">
        <v>6</v>
      </c>
      <c r="T21" s="12" t="s">
        <v>43</v>
      </c>
      <c r="U21" s="11">
        <v>10</v>
      </c>
      <c r="V21" s="6" t="s">
        <v>4</v>
      </c>
      <c r="W21" s="11">
        <v>15</v>
      </c>
      <c r="X21" s="11">
        <v>10</v>
      </c>
    </row>
    <row r="22" spans="1:24" x14ac:dyDescent="0.2">
      <c r="A22" s="8">
        <v>3754188</v>
      </c>
      <c r="B22" s="6" t="s">
        <v>55</v>
      </c>
      <c r="C22" s="6" t="s">
        <v>47</v>
      </c>
      <c r="D22" s="6" t="s">
        <v>15</v>
      </c>
      <c r="E22" s="6" t="s">
        <v>15</v>
      </c>
      <c r="F22" s="6" t="s">
        <v>14</v>
      </c>
      <c r="G22" s="6" t="s">
        <v>21</v>
      </c>
      <c r="H22" s="6" t="s">
        <v>11</v>
      </c>
      <c r="I22" s="6" t="s">
        <v>12</v>
      </c>
      <c r="J22" s="6" t="s">
        <v>12</v>
      </c>
      <c r="K22" s="6" t="s">
        <v>54</v>
      </c>
      <c r="L22" s="6">
        <v>13999</v>
      </c>
      <c r="M22" s="16">
        <f>L22/$L$38</f>
        <v>2.723254755336988E-2</v>
      </c>
      <c r="N22" s="11">
        <v>15</v>
      </c>
      <c r="O22" s="8">
        <v>18</v>
      </c>
      <c r="P22" s="8">
        <v>3</v>
      </c>
      <c r="Q22" s="6" t="s">
        <v>52</v>
      </c>
      <c r="R22" s="6" t="s">
        <v>20</v>
      </c>
      <c r="S22" s="6" t="s">
        <v>6</v>
      </c>
      <c r="T22" s="12" t="s">
        <v>43</v>
      </c>
      <c r="U22" s="11">
        <v>10</v>
      </c>
      <c r="V22" s="6" t="s">
        <v>4</v>
      </c>
      <c r="W22" s="11">
        <v>15</v>
      </c>
      <c r="X22" s="11">
        <v>10</v>
      </c>
    </row>
    <row r="23" spans="1:24" x14ac:dyDescent="0.2">
      <c r="A23" s="8">
        <v>3754195</v>
      </c>
      <c r="B23" s="6" t="s">
        <v>51</v>
      </c>
      <c r="C23" s="6" t="s">
        <v>47</v>
      </c>
      <c r="D23" s="6" t="s">
        <v>15</v>
      </c>
      <c r="E23" s="6" t="s">
        <v>15</v>
      </c>
      <c r="F23" s="6" t="s">
        <v>14</v>
      </c>
      <c r="G23" s="6" t="s">
        <v>13</v>
      </c>
      <c r="H23" s="6" t="s">
        <v>11</v>
      </c>
      <c r="I23" s="6" t="s">
        <v>12</v>
      </c>
      <c r="J23" s="6" t="s">
        <v>12</v>
      </c>
      <c r="K23" s="6" t="s">
        <v>46</v>
      </c>
      <c r="L23" s="6">
        <v>18499</v>
      </c>
      <c r="M23" s="16">
        <f>L23/$L$38</f>
        <v>3.5986491691534353E-2</v>
      </c>
      <c r="N23" s="5">
        <v>18</v>
      </c>
      <c r="O23" s="8">
        <v>18</v>
      </c>
      <c r="P23" s="8">
        <v>0</v>
      </c>
      <c r="Q23" s="6" t="s">
        <v>8</v>
      </c>
      <c r="R23" s="6" t="s">
        <v>50</v>
      </c>
      <c r="S23" s="6" t="s">
        <v>6</v>
      </c>
      <c r="T23" s="7" t="s">
        <v>43</v>
      </c>
      <c r="U23" s="11">
        <v>10</v>
      </c>
      <c r="V23" s="6" t="s">
        <v>4</v>
      </c>
      <c r="W23" s="5">
        <v>18</v>
      </c>
      <c r="X23" s="11">
        <v>15</v>
      </c>
    </row>
    <row r="24" spans="1:24" x14ac:dyDescent="0.2">
      <c r="A24" s="8">
        <v>3754196</v>
      </c>
      <c r="B24" s="6" t="s">
        <v>49</v>
      </c>
      <c r="C24" s="6" t="s">
        <v>47</v>
      </c>
      <c r="D24" s="6" t="s">
        <v>15</v>
      </c>
      <c r="E24" s="6" t="s">
        <v>15</v>
      </c>
      <c r="F24" s="6" t="s">
        <v>14</v>
      </c>
      <c r="G24" s="6" t="s">
        <v>21</v>
      </c>
      <c r="H24" s="6" t="s">
        <v>11</v>
      </c>
      <c r="I24" s="6" t="s">
        <v>12</v>
      </c>
      <c r="J24" s="6" t="s">
        <v>12</v>
      </c>
      <c r="K24" s="6" t="s">
        <v>46</v>
      </c>
      <c r="L24" s="6">
        <v>18499</v>
      </c>
      <c r="M24" s="16">
        <f>L24/$L$38</f>
        <v>3.5986491691534353E-2</v>
      </c>
      <c r="N24" s="5">
        <v>18</v>
      </c>
      <c r="O24" s="8">
        <v>18</v>
      </c>
      <c r="P24" s="8">
        <v>0</v>
      </c>
      <c r="Q24" s="6" t="s">
        <v>8</v>
      </c>
      <c r="R24" s="6" t="s">
        <v>44</v>
      </c>
      <c r="S24" s="6" t="s">
        <v>6</v>
      </c>
      <c r="T24" s="7" t="s">
        <v>43</v>
      </c>
      <c r="U24" s="11">
        <v>10</v>
      </c>
      <c r="V24" s="6" t="s">
        <v>4</v>
      </c>
      <c r="W24" s="5">
        <v>18</v>
      </c>
      <c r="X24" s="11">
        <v>15</v>
      </c>
    </row>
    <row r="25" spans="1:24" x14ac:dyDescent="0.2">
      <c r="A25" s="8">
        <v>3754200</v>
      </c>
      <c r="B25" s="6" t="s">
        <v>48</v>
      </c>
      <c r="C25" s="6" t="s">
        <v>47</v>
      </c>
      <c r="D25" s="6" t="s">
        <v>15</v>
      </c>
      <c r="E25" s="6" t="s">
        <v>15</v>
      </c>
      <c r="F25" s="6" t="s">
        <v>14</v>
      </c>
      <c r="G25" s="6" t="s">
        <v>21</v>
      </c>
      <c r="H25" s="6" t="s">
        <v>11</v>
      </c>
      <c r="I25" s="6" t="s">
        <v>12</v>
      </c>
      <c r="J25" s="6" t="s">
        <v>11</v>
      </c>
      <c r="K25" s="6" t="s">
        <v>46</v>
      </c>
      <c r="L25" s="6">
        <v>18499</v>
      </c>
      <c r="M25" s="16">
        <f>L25/$L$38</f>
        <v>3.5986491691534353E-2</v>
      </c>
      <c r="N25" s="5">
        <v>18</v>
      </c>
      <c r="O25" s="8">
        <v>18</v>
      </c>
      <c r="P25" s="8">
        <v>0</v>
      </c>
      <c r="Q25" s="6" t="s">
        <v>8</v>
      </c>
      <c r="R25" s="6" t="s">
        <v>44</v>
      </c>
      <c r="S25" s="6" t="s">
        <v>6</v>
      </c>
      <c r="T25" s="7" t="s">
        <v>43</v>
      </c>
      <c r="U25" s="11">
        <v>10</v>
      </c>
      <c r="V25" s="6" t="s">
        <v>4</v>
      </c>
      <c r="W25" s="5">
        <v>18</v>
      </c>
      <c r="X25" s="11">
        <v>15</v>
      </c>
    </row>
    <row r="26" spans="1:24" x14ac:dyDescent="0.2">
      <c r="A26" s="8">
        <v>3849162</v>
      </c>
      <c r="B26" s="6" t="s">
        <v>42</v>
      </c>
      <c r="C26" s="6" t="s">
        <v>16</v>
      </c>
      <c r="D26" s="6" t="s">
        <v>15</v>
      </c>
      <c r="E26" s="6" t="s">
        <v>15</v>
      </c>
      <c r="F26" s="6" t="s">
        <v>14</v>
      </c>
      <c r="G26" s="6" t="s">
        <v>13</v>
      </c>
      <c r="H26" s="6" t="s">
        <v>11</v>
      </c>
      <c r="I26" s="6" t="s">
        <v>12</v>
      </c>
      <c r="J26" s="6" t="s">
        <v>12</v>
      </c>
      <c r="K26" s="6" t="s">
        <v>34</v>
      </c>
      <c r="L26" s="6">
        <v>25599</v>
      </c>
      <c r="M26" s="16">
        <f>L26/$L$38</f>
        <v>4.9798270220638298E-2</v>
      </c>
      <c r="N26" s="5">
        <v>20</v>
      </c>
      <c r="O26" s="8">
        <v>20</v>
      </c>
      <c r="P26" s="8">
        <v>0</v>
      </c>
      <c r="Q26" s="6" t="s">
        <v>8</v>
      </c>
      <c r="R26" s="6" t="s">
        <v>41</v>
      </c>
      <c r="S26" s="6" t="s">
        <v>6</v>
      </c>
      <c r="T26" s="7" t="s">
        <v>31</v>
      </c>
      <c r="U26" s="5">
        <v>20</v>
      </c>
      <c r="V26" s="6" t="s">
        <v>4</v>
      </c>
      <c r="W26" s="5">
        <v>20</v>
      </c>
      <c r="X26" s="5">
        <v>20</v>
      </c>
    </row>
    <row r="27" spans="1:24" x14ac:dyDescent="0.2">
      <c r="A27" s="8">
        <v>3849163</v>
      </c>
      <c r="B27" s="6" t="s">
        <v>40</v>
      </c>
      <c r="C27" s="6" t="s">
        <v>16</v>
      </c>
      <c r="D27" s="6" t="s">
        <v>15</v>
      </c>
      <c r="E27" s="6" t="s">
        <v>15</v>
      </c>
      <c r="F27" s="6" t="s">
        <v>14</v>
      </c>
      <c r="G27" s="6" t="s">
        <v>13</v>
      </c>
      <c r="H27" s="6" t="s">
        <v>11</v>
      </c>
      <c r="I27" s="6" t="s">
        <v>12</v>
      </c>
      <c r="J27" s="6" t="s">
        <v>11</v>
      </c>
      <c r="K27" s="6" t="s">
        <v>34</v>
      </c>
      <c r="L27" s="6">
        <v>25599</v>
      </c>
      <c r="M27" s="16">
        <f>L27/$L$38</f>
        <v>4.9798270220638298E-2</v>
      </c>
      <c r="N27" s="5">
        <v>20</v>
      </c>
      <c r="O27" s="8">
        <v>20</v>
      </c>
      <c r="P27" s="8">
        <v>0</v>
      </c>
      <c r="Q27" s="6" t="s">
        <v>8</v>
      </c>
      <c r="R27" s="6" t="s">
        <v>39</v>
      </c>
      <c r="S27" s="6" t="s">
        <v>6</v>
      </c>
      <c r="T27" s="7" t="s">
        <v>31</v>
      </c>
      <c r="U27" s="5">
        <v>20</v>
      </c>
      <c r="V27" s="6" t="s">
        <v>4</v>
      </c>
      <c r="W27" s="5">
        <v>20</v>
      </c>
      <c r="X27" s="5">
        <v>20</v>
      </c>
    </row>
    <row r="28" spans="1:24" x14ac:dyDescent="0.2">
      <c r="A28" s="8">
        <v>3849167</v>
      </c>
      <c r="B28" s="6" t="s">
        <v>38</v>
      </c>
      <c r="C28" s="6" t="s">
        <v>16</v>
      </c>
      <c r="D28" s="6" t="s">
        <v>15</v>
      </c>
      <c r="E28" s="6" t="s">
        <v>15</v>
      </c>
      <c r="F28" s="6" t="s">
        <v>14</v>
      </c>
      <c r="G28" s="6" t="s">
        <v>21</v>
      </c>
      <c r="H28" s="6" t="s">
        <v>11</v>
      </c>
      <c r="I28" s="6" t="s">
        <v>12</v>
      </c>
      <c r="J28" s="6" t="s">
        <v>11</v>
      </c>
      <c r="K28" s="6" t="s">
        <v>10</v>
      </c>
      <c r="L28" s="6">
        <v>20699</v>
      </c>
      <c r="M28" s="16">
        <f>L28/$L$38</f>
        <v>4.0266197714636985E-2</v>
      </c>
      <c r="N28" s="5">
        <v>15</v>
      </c>
      <c r="O28" s="8">
        <v>15</v>
      </c>
      <c r="P28" s="8">
        <v>0</v>
      </c>
      <c r="Q28" s="6" t="s">
        <v>8</v>
      </c>
      <c r="R28" s="6" t="s">
        <v>18</v>
      </c>
      <c r="S28" s="6" t="s">
        <v>6</v>
      </c>
      <c r="T28" s="7" t="s">
        <v>5</v>
      </c>
      <c r="U28" s="5">
        <v>15</v>
      </c>
      <c r="V28" s="6" t="s">
        <v>4</v>
      </c>
      <c r="W28" s="5">
        <v>15</v>
      </c>
      <c r="X28" s="5">
        <v>15</v>
      </c>
    </row>
    <row r="29" spans="1:24" x14ac:dyDescent="0.2">
      <c r="A29" s="8">
        <v>3849168</v>
      </c>
      <c r="B29" s="6" t="s">
        <v>37</v>
      </c>
      <c r="C29" s="6" t="s">
        <v>16</v>
      </c>
      <c r="D29" s="6" t="s">
        <v>15</v>
      </c>
      <c r="E29" s="6" t="s">
        <v>15</v>
      </c>
      <c r="F29" s="6" t="s">
        <v>14</v>
      </c>
      <c r="G29" s="6" t="s">
        <v>13</v>
      </c>
      <c r="H29" s="6" t="s">
        <v>11</v>
      </c>
      <c r="I29" s="6" t="s">
        <v>12</v>
      </c>
      <c r="J29" s="6" t="s">
        <v>12</v>
      </c>
      <c r="K29" s="6" t="s">
        <v>34</v>
      </c>
      <c r="L29" s="6">
        <v>25599</v>
      </c>
      <c r="M29" s="16">
        <f>L29/$L$38</f>
        <v>4.9798270220638298E-2</v>
      </c>
      <c r="N29" s="5">
        <v>20</v>
      </c>
      <c r="O29" s="8">
        <v>20</v>
      </c>
      <c r="P29" s="8">
        <v>0</v>
      </c>
      <c r="Q29" s="6" t="s">
        <v>8</v>
      </c>
      <c r="R29" s="6" t="s">
        <v>36</v>
      </c>
      <c r="S29" s="6" t="s">
        <v>6</v>
      </c>
      <c r="T29" s="7" t="s">
        <v>31</v>
      </c>
      <c r="U29" s="5">
        <v>20</v>
      </c>
      <c r="V29" s="6" t="s">
        <v>4</v>
      </c>
      <c r="W29" s="5">
        <v>20</v>
      </c>
      <c r="X29" s="5">
        <v>20</v>
      </c>
    </row>
    <row r="30" spans="1:24" x14ac:dyDescent="0.2">
      <c r="A30" s="8">
        <v>3849169</v>
      </c>
      <c r="B30" s="6" t="s">
        <v>35</v>
      </c>
      <c r="C30" s="6" t="s">
        <v>16</v>
      </c>
      <c r="D30" s="6" t="s">
        <v>15</v>
      </c>
      <c r="E30" s="6" t="s">
        <v>15</v>
      </c>
      <c r="F30" s="6" t="s">
        <v>14</v>
      </c>
      <c r="G30" s="6" t="s">
        <v>13</v>
      </c>
      <c r="H30" s="6" t="s">
        <v>11</v>
      </c>
      <c r="I30" s="6" t="s">
        <v>12</v>
      </c>
      <c r="J30" s="6" t="s">
        <v>11</v>
      </c>
      <c r="K30" s="6" t="s">
        <v>34</v>
      </c>
      <c r="L30" s="6">
        <v>25599</v>
      </c>
      <c r="M30" s="16">
        <f>L30/$L$38</f>
        <v>4.9798270220638298E-2</v>
      </c>
      <c r="N30" s="5">
        <v>20</v>
      </c>
      <c r="O30" s="8">
        <v>20</v>
      </c>
      <c r="P30" s="8">
        <v>0</v>
      </c>
      <c r="Q30" s="6" t="s">
        <v>8</v>
      </c>
      <c r="R30" s="6" t="s">
        <v>32</v>
      </c>
      <c r="S30" s="6" t="s">
        <v>6</v>
      </c>
      <c r="T30" s="7" t="s">
        <v>31</v>
      </c>
      <c r="U30" s="5">
        <v>20</v>
      </c>
      <c r="V30" s="6" t="s">
        <v>4</v>
      </c>
      <c r="W30" s="5">
        <v>20</v>
      </c>
      <c r="X30" s="5">
        <v>20</v>
      </c>
    </row>
    <row r="31" spans="1:24" x14ac:dyDescent="0.2">
      <c r="A31" s="8">
        <v>3849171</v>
      </c>
      <c r="B31" s="6" t="s">
        <v>30</v>
      </c>
      <c r="C31" s="6" t="s">
        <v>16</v>
      </c>
      <c r="D31" s="6" t="s">
        <v>15</v>
      </c>
      <c r="E31" s="6" t="s">
        <v>15</v>
      </c>
      <c r="F31" s="6" t="s">
        <v>14</v>
      </c>
      <c r="G31" s="6" t="s">
        <v>13</v>
      </c>
      <c r="H31" s="6" t="s">
        <v>11</v>
      </c>
      <c r="I31" s="6" t="s">
        <v>12</v>
      </c>
      <c r="J31" s="6" t="s">
        <v>11</v>
      </c>
      <c r="K31" s="6" t="s">
        <v>10</v>
      </c>
      <c r="L31" s="6">
        <v>20699</v>
      </c>
      <c r="M31" s="16">
        <f>L31/$L$38</f>
        <v>4.0266197714636985E-2</v>
      </c>
      <c r="N31" s="5">
        <v>15</v>
      </c>
      <c r="O31" s="8">
        <v>15</v>
      </c>
      <c r="P31" s="8">
        <v>0</v>
      </c>
      <c r="Q31" s="6" t="s">
        <v>8</v>
      </c>
      <c r="R31" s="6" t="s">
        <v>29</v>
      </c>
      <c r="S31" s="6" t="s">
        <v>6</v>
      </c>
      <c r="T31" s="7" t="s">
        <v>5</v>
      </c>
      <c r="U31" s="5">
        <v>15</v>
      </c>
      <c r="V31" s="6" t="s">
        <v>4</v>
      </c>
      <c r="W31" s="5">
        <v>15</v>
      </c>
      <c r="X31" s="5">
        <v>15</v>
      </c>
    </row>
    <row r="32" spans="1:24" x14ac:dyDescent="0.2">
      <c r="A32" s="8">
        <v>3849172</v>
      </c>
      <c r="B32" s="6" t="s">
        <v>28</v>
      </c>
      <c r="C32" s="6" t="s">
        <v>16</v>
      </c>
      <c r="D32" s="6" t="s">
        <v>15</v>
      </c>
      <c r="E32" s="6" t="s">
        <v>15</v>
      </c>
      <c r="F32" s="6" t="s">
        <v>14</v>
      </c>
      <c r="G32" s="6" t="s">
        <v>13</v>
      </c>
      <c r="H32" s="6" t="s">
        <v>11</v>
      </c>
      <c r="I32" s="6" t="s">
        <v>12</v>
      </c>
      <c r="J32" s="6" t="s">
        <v>12</v>
      </c>
      <c r="K32" s="6" t="s">
        <v>10</v>
      </c>
      <c r="L32" s="6">
        <v>20699</v>
      </c>
      <c r="M32" s="16">
        <f>L32/$L$38</f>
        <v>4.0266197714636985E-2</v>
      </c>
      <c r="N32" s="5">
        <v>15</v>
      </c>
      <c r="O32" s="8">
        <v>15</v>
      </c>
      <c r="P32" s="8">
        <v>0</v>
      </c>
      <c r="Q32" s="6" t="s">
        <v>8</v>
      </c>
      <c r="R32" s="6" t="s">
        <v>18</v>
      </c>
      <c r="S32" s="6" t="s">
        <v>6</v>
      </c>
      <c r="T32" s="7" t="s">
        <v>5</v>
      </c>
      <c r="U32" s="5">
        <v>15</v>
      </c>
      <c r="V32" s="6" t="s">
        <v>4</v>
      </c>
      <c r="W32" s="5">
        <v>15</v>
      </c>
      <c r="X32" s="5">
        <v>15</v>
      </c>
    </row>
    <row r="33" spans="1:24" x14ac:dyDescent="0.2">
      <c r="A33" s="8">
        <v>3849173</v>
      </c>
      <c r="B33" s="6" t="s">
        <v>27</v>
      </c>
      <c r="C33" s="6" t="s">
        <v>16</v>
      </c>
      <c r="D33" s="6" t="s">
        <v>15</v>
      </c>
      <c r="E33" s="6" t="s">
        <v>15</v>
      </c>
      <c r="F33" s="6" t="s">
        <v>14</v>
      </c>
      <c r="G33" s="6" t="s">
        <v>13</v>
      </c>
      <c r="H33" s="6" t="s">
        <v>11</v>
      </c>
      <c r="I33" s="6" t="s">
        <v>12</v>
      </c>
      <c r="J33" s="6" t="s">
        <v>11</v>
      </c>
      <c r="K33" s="6" t="s">
        <v>10</v>
      </c>
      <c r="L33" s="6">
        <v>20699</v>
      </c>
      <c r="M33" s="16">
        <f>L33/$L$38</f>
        <v>4.0266197714636985E-2</v>
      </c>
      <c r="N33" s="5">
        <v>15</v>
      </c>
      <c r="O33" s="8">
        <v>15</v>
      </c>
      <c r="P33" s="8">
        <v>0</v>
      </c>
      <c r="Q33" s="6" t="s">
        <v>8</v>
      </c>
      <c r="R33" s="6" t="s">
        <v>25</v>
      </c>
      <c r="S33" s="6" t="s">
        <v>6</v>
      </c>
      <c r="T33" s="7" t="s">
        <v>5</v>
      </c>
      <c r="U33" s="5">
        <v>15</v>
      </c>
      <c r="V33" s="6" t="s">
        <v>4</v>
      </c>
      <c r="W33" s="5">
        <v>15</v>
      </c>
      <c r="X33" s="5">
        <v>15</v>
      </c>
    </row>
    <row r="34" spans="1:24" x14ac:dyDescent="0.2">
      <c r="A34" s="8">
        <v>3849174</v>
      </c>
      <c r="B34" s="6" t="s">
        <v>24</v>
      </c>
      <c r="C34" s="6" t="s">
        <v>16</v>
      </c>
      <c r="D34" s="6" t="s">
        <v>15</v>
      </c>
      <c r="E34" s="6" t="s">
        <v>15</v>
      </c>
      <c r="F34" s="6" t="s">
        <v>14</v>
      </c>
      <c r="G34" s="6" t="s">
        <v>21</v>
      </c>
      <c r="H34" s="6" t="s">
        <v>11</v>
      </c>
      <c r="I34" s="6" t="s">
        <v>12</v>
      </c>
      <c r="J34" s="6" t="s">
        <v>11</v>
      </c>
      <c r="K34" s="6" t="s">
        <v>10</v>
      </c>
      <c r="L34" s="6">
        <v>17099</v>
      </c>
      <c r="M34" s="16">
        <f>L34/$L$38</f>
        <v>3.3263042404105408E-2</v>
      </c>
      <c r="N34" s="5">
        <v>15</v>
      </c>
      <c r="O34" s="8">
        <v>15</v>
      </c>
      <c r="P34" s="8">
        <v>0</v>
      </c>
      <c r="Q34" s="6" t="s">
        <v>8</v>
      </c>
      <c r="R34" s="6" t="s">
        <v>23</v>
      </c>
      <c r="S34" s="6" t="s">
        <v>6</v>
      </c>
      <c r="T34" s="7" t="s">
        <v>5</v>
      </c>
      <c r="U34" s="5">
        <v>15</v>
      </c>
      <c r="V34" s="6" t="s">
        <v>4</v>
      </c>
      <c r="W34" s="5">
        <v>15</v>
      </c>
      <c r="X34" s="5">
        <v>15</v>
      </c>
    </row>
    <row r="35" spans="1:24" x14ac:dyDescent="0.2">
      <c r="A35" s="8">
        <v>3849175</v>
      </c>
      <c r="B35" s="6" t="s">
        <v>22</v>
      </c>
      <c r="C35" s="6" t="s">
        <v>16</v>
      </c>
      <c r="D35" s="6" t="s">
        <v>15</v>
      </c>
      <c r="E35" s="6" t="s">
        <v>15</v>
      </c>
      <c r="F35" s="6" t="s">
        <v>14</v>
      </c>
      <c r="G35" s="6" t="s">
        <v>21</v>
      </c>
      <c r="H35" s="6" t="s">
        <v>11</v>
      </c>
      <c r="I35" s="6" t="s">
        <v>12</v>
      </c>
      <c r="J35" s="6" t="s">
        <v>11</v>
      </c>
      <c r="K35" s="6" t="s">
        <v>10</v>
      </c>
      <c r="L35" s="6">
        <v>17099</v>
      </c>
      <c r="M35" s="16">
        <f>L35/$L$38</f>
        <v>3.3263042404105408E-2</v>
      </c>
      <c r="N35" s="5">
        <v>15</v>
      </c>
      <c r="O35" s="8">
        <v>15</v>
      </c>
      <c r="P35" s="8">
        <v>0</v>
      </c>
      <c r="Q35" s="6" t="s">
        <v>8</v>
      </c>
      <c r="R35" s="6" t="s">
        <v>20</v>
      </c>
      <c r="S35" s="6" t="s">
        <v>6</v>
      </c>
      <c r="T35" s="7" t="s">
        <v>5</v>
      </c>
      <c r="U35" s="5">
        <v>15</v>
      </c>
      <c r="V35" s="6" t="s">
        <v>4</v>
      </c>
      <c r="W35" s="5">
        <v>15</v>
      </c>
      <c r="X35" s="5">
        <v>15</v>
      </c>
    </row>
    <row r="36" spans="1:24" x14ac:dyDescent="0.2">
      <c r="A36" s="8">
        <v>3849176</v>
      </c>
      <c r="B36" s="6" t="s">
        <v>19</v>
      </c>
      <c r="C36" s="6" t="s">
        <v>16</v>
      </c>
      <c r="D36" s="6" t="s">
        <v>15</v>
      </c>
      <c r="E36" s="6" t="s">
        <v>15</v>
      </c>
      <c r="F36" s="6" t="s">
        <v>14</v>
      </c>
      <c r="G36" s="6" t="s">
        <v>13</v>
      </c>
      <c r="H36" s="6" t="s">
        <v>11</v>
      </c>
      <c r="I36" s="6" t="s">
        <v>12</v>
      </c>
      <c r="J36" s="6" t="s">
        <v>12</v>
      </c>
      <c r="K36" s="6" t="s">
        <v>10</v>
      </c>
      <c r="L36" s="6">
        <v>17099</v>
      </c>
      <c r="M36" s="16">
        <f>L36/$L$38</f>
        <v>3.3263042404105408E-2</v>
      </c>
      <c r="N36" s="5">
        <v>15</v>
      </c>
      <c r="O36" s="8">
        <v>15</v>
      </c>
      <c r="P36" s="8">
        <v>0</v>
      </c>
      <c r="Q36" s="6" t="s">
        <v>8</v>
      </c>
      <c r="R36" s="6" t="s">
        <v>18</v>
      </c>
      <c r="S36" s="6" t="s">
        <v>6</v>
      </c>
      <c r="T36" s="7" t="s">
        <v>5</v>
      </c>
      <c r="U36" s="5">
        <v>15</v>
      </c>
      <c r="V36" s="6" t="s">
        <v>4</v>
      </c>
      <c r="W36" s="5">
        <v>15</v>
      </c>
      <c r="X36" s="5">
        <v>15</v>
      </c>
    </row>
    <row r="37" spans="1:24" x14ac:dyDescent="0.2">
      <c r="A37" s="8">
        <v>3849177</v>
      </c>
      <c r="B37" s="6" t="s">
        <v>17</v>
      </c>
      <c r="C37" s="6" t="s">
        <v>16</v>
      </c>
      <c r="D37" s="6" t="s">
        <v>15</v>
      </c>
      <c r="E37" s="6" t="s">
        <v>15</v>
      </c>
      <c r="F37" s="6" t="s">
        <v>14</v>
      </c>
      <c r="G37" s="6" t="s">
        <v>13</v>
      </c>
      <c r="H37" s="6" t="s">
        <v>11</v>
      </c>
      <c r="I37" s="6" t="s">
        <v>12</v>
      </c>
      <c r="J37" s="6" t="s">
        <v>11</v>
      </c>
      <c r="K37" s="6" t="s">
        <v>10</v>
      </c>
      <c r="L37" s="6">
        <v>17099</v>
      </c>
      <c r="M37" s="16">
        <f>L37/$L$38</f>
        <v>3.3263042404105408E-2</v>
      </c>
      <c r="N37" s="5">
        <v>15</v>
      </c>
      <c r="O37" s="8">
        <v>15</v>
      </c>
      <c r="P37" s="8">
        <v>0</v>
      </c>
      <c r="Q37" s="6" t="s">
        <v>8</v>
      </c>
      <c r="R37" s="6" t="s">
        <v>7</v>
      </c>
      <c r="S37" s="6" t="s">
        <v>6</v>
      </c>
      <c r="T37" s="7" t="s">
        <v>5</v>
      </c>
      <c r="U37" s="5">
        <v>15</v>
      </c>
      <c r="V37" s="6" t="s">
        <v>4</v>
      </c>
      <c r="W37" s="5">
        <v>15</v>
      </c>
      <c r="X37" s="5">
        <v>15</v>
      </c>
    </row>
    <row r="38" spans="1:24" x14ac:dyDescent="0.2">
      <c r="L38" s="15">
        <f>SUM(L2:L37)</f>
        <v>514054</v>
      </c>
      <c r="M38" s="14">
        <f>SUM(M2:M37)</f>
        <v>1.0000000000000002</v>
      </c>
      <c r="O38" s="3">
        <f>SUMPRODUCT($M$2:$M$37,O2:O37)</f>
        <v>16.278951238585829</v>
      </c>
      <c r="P38" s="3"/>
      <c r="Q38" s="3"/>
      <c r="R38" s="3"/>
      <c r="S38" s="3"/>
      <c r="T38" s="3"/>
      <c r="U38" s="3">
        <f>SUMPRODUCT($M$2:$M$37,U2:U37)</f>
        <v>13.462515611200377</v>
      </c>
      <c r="V38" s="3"/>
      <c r="W38" s="3">
        <f>SUMPRODUCT($M$2:$M$37,W2:W37)</f>
        <v>15.1197948075494</v>
      </c>
      <c r="X38" s="3">
        <f>SUMPRODUCT($M$2:$M$37,X2:X37)</f>
        <v>14.002312986573394</v>
      </c>
    </row>
    <row r="39" spans="1:24" x14ac:dyDescent="0.2">
      <c r="O39" s="2" t="s">
        <v>3</v>
      </c>
      <c r="P39" s="2"/>
      <c r="Q39" s="2"/>
      <c r="R39" s="2"/>
      <c r="S39" s="2"/>
      <c r="T39" s="2"/>
      <c r="U39" s="2" t="s">
        <v>2</v>
      </c>
      <c r="V39" s="2"/>
      <c r="W39" s="2" t="s">
        <v>1</v>
      </c>
      <c r="X39" s="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2</vt:i4>
      </vt:variant>
    </vt:vector>
  </HeadingPairs>
  <TitlesOfParts>
    <vt:vector size="2" baseType="lpstr">
      <vt:lpstr>Ср. срок на продажи</vt:lpstr>
      <vt:lpstr>Средний срок на стоимость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2026-06-10T08:51:24Z</dcterms:created>
  <dcterms:modified xsi:type="dcterms:W3CDTF">2026-06-10T08:52:00Z</dcterms:modified>
</cp:coreProperties>
</file>